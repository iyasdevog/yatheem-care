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template" sheetId="2" r:id="rId6"/>
  </sheets>
  <definedNames>
    <definedName hidden="1" localSheetId="0" name="_xlnm._FilterDatabase">'Form Responses 1'!$A$1:$I$1071</definedName>
  </definedNames>
  <calcPr/>
</workbook>
</file>

<file path=xl/sharedStrings.xml><?xml version="1.0" encoding="utf-8"?>
<sst xmlns="http://schemas.openxmlformats.org/spreadsheetml/2006/main" count="3696" uniqueCount="1769">
  <si>
    <t xml:space="preserve"> </t>
  </si>
  <si>
    <t>DATE</t>
  </si>
  <si>
    <t xml:space="preserve">NAME </t>
  </si>
  <si>
    <t>ADRESS</t>
  </si>
  <si>
    <t>PHONE NUMBER</t>
  </si>
  <si>
    <t>Sponsership</t>
  </si>
  <si>
    <t>TOTAL 
PAYABLE</t>
  </si>
  <si>
    <t>PAID TOTAL</t>
  </si>
  <si>
    <t>BALANCE</t>
  </si>
  <si>
    <t>Remarks</t>
  </si>
  <si>
    <t>Education</t>
  </si>
  <si>
    <t>Food</t>
  </si>
  <si>
    <t>Amt</t>
  </si>
  <si>
    <t>Rpt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</si>
  <si>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</si>
  <si>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</si>
  <si>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</si>
  <si>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</si>
  <si>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</si>
  <si>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</si>
  <si>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</si>
  <si>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</si>
  <si>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</si>
  <si>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</si>
  <si>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</si>
  <si>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</si>
  <si>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FAIJAS</t>
  </si>
  <si>
    <t>AJWA - PURAKKATTIRI</t>
  </si>
  <si>
    <t>MUJEEB RAHMAN PK</t>
  </si>
  <si>
    <t>PARAPPUKADAVU</t>
  </si>
  <si>
    <t>KUNJI MUHAMMED PC</t>
  </si>
  <si>
    <t>CHAPPANGA THOTTATHIL (H) - POOKALATHOOR</t>
  </si>
  <si>
    <t>SAHEER KY</t>
  </si>
  <si>
    <t>THALAKULATHUR</t>
  </si>
  <si>
    <t>CR 424</t>
  </si>
  <si>
    <t>NOOR MUHAMMED</t>
  </si>
  <si>
    <t>टाइमस्टैम्प</t>
  </si>
  <si>
    <t xml:space="preserve">VANDOOR </t>
  </si>
  <si>
    <t>CR 3773</t>
  </si>
  <si>
    <t>Date</t>
  </si>
  <si>
    <t>MODE</t>
  </si>
  <si>
    <t>Name</t>
  </si>
  <si>
    <t>C/O</t>
  </si>
  <si>
    <t>Contact 1</t>
  </si>
  <si>
    <t>Contact 2</t>
  </si>
  <si>
    <t>Voucher no</t>
  </si>
  <si>
    <t>SAJARUDHEEN PT</t>
  </si>
  <si>
    <t xml:space="preserve">Amount </t>
  </si>
  <si>
    <t>ERANJIKKAL - CALICUT</t>
  </si>
  <si>
    <t>BR/555</t>
  </si>
  <si>
    <t>PNB</t>
  </si>
  <si>
    <t xml:space="preserve">THANVEER MATTANNUR </t>
  </si>
  <si>
    <t>BR/25-26/5780</t>
  </si>
  <si>
    <t>EP FEDERAL</t>
  </si>
  <si>
    <t>Sajitha Ismail Mooriyad</t>
  </si>
  <si>
    <t>BR/25-26/5784</t>
  </si>
  <si>
    <t>JABBAR SIR</t>
  </si>
  <si>
    <t>Dr Muhammed Nazeeb</t>
  </si>
  <si>
    <t>BR/25-26/5791</t>
  </si>
  <si>
    <t>ASRA BACKER</t>
  </si>
  <si>
    <t>RAZAQUEKKA IRITTY</t>
  </si>
  <si>
    <t>BR/25-26/5815</t>
  </si>
  <si>
    <t>IRITTY</t>
  </si>
  <si>
    <t>cr 40 /4-4-26</t>
  </si>
  <si>
    <t>CASH</t>
  </si>
  <si>
    <t>CR 516</t>
  </si>
  <si>
    <t>rashiya</t>
  </si>
  <si>
    <t>CR/25-26/2925</t>
  </si>
  <si>
    <t>SOUDHABI KANNUR KAKKAD</t>
  </si>
  <si>
    <t>SHAMEER</t>
  </si>
  <si>
    <t>BR/25-26/5831</t>
  </si>
  <si>
    <t>ASHRIKANDI CHEROOPA</t>
  </si>
  <si>
    <t>Ashmeer kp Mattannur</t>
  </si>
  <si>
    <t>BR/25-26/5878</t>
  </si>
  <si>
    <t>Amlu Fhahida MP</t>
  </si>
  <si>
    <t>AZHARUDHEEN K</t>
  </si>
  <si>
    <t>KALLATH (H) CHEROOPA</t>
  </si>
  <si>
    <t>BR/25-26/5915</t>
  </si>
  <si>
    <t>BR 10913</t>
  </si>
  <si>
    <t>BR 11769</t>
  </si>
  <si>
    <t>BR 13098</t>
  </si>
  <si>
    <t>BR 13102</t>
  </si>
  <si>
    <t>BR 550</t>
  </si>
  <si>
    <t>M M Kunjimuhammed</t>
  </si>
  <si>
    <t>BR/25-26/5983</t>
  </si>
  <si>
    <t>Uk Moosa Haji</t>
  </si>
  <si>
    <t>MAHAROOF</t>
  </si>
  <si>
    <t>KOKKANDCHEER PARAMBIL (H) CHEROOPA</t>
  </si>
  <si>
    <t>BR/25-26/5989</t>
  </si>
  <si>
    <t>Dr Shameem Thillankeri</t>
  </si>
  <si>
    <t>BR/25-26/5993</t>
  </si>
  <si>
    <t>Abdu salam ramapuram</t>
  </si>
  <si>
    <t xml:space="preserve">UMMER HAJI </t>
  </si>
  <si>
    <t>CHEROOPA</t>
  </si>
  <si>
    <t>CR/25-26/3024</t>
  </si>
  <si>
    <t>Sulaikha kc</t>
  </si>
  <si>
    <t>BR/25-26/6050</t>
  </si>
  <si>
    <t xml:space="preserve">NOUFAL  </t>
  </si>
  <si>
    <t xml:space="preserve"> KOOTHUPARAMB</t>
  </si>
  <si>
    <t>Muneer Atholi</t>
  </si>
  <si>
    <t>BR/25-26/6053</t>
  </si>
  <si>
    <t>Muhammed haji</t>
  </si>
  <si>
    <t>BR/25-26/6104</t>
  </si>
  <si>
    <t>SADIK C/O HUSSAIN HAJI VENGAD  - C/O VARAM MUHAMMED HAJI</t>
  </si>
  <si>
    <t xml:space="preserve">Abdhul Azeez R Parad </t>
  </si>
  <si>
    <t>BR/25-26/6120</t>
  </si>
  <si>
    <t>Faijumon</t>
  </si>
  <si>
    <t>BR/25-26/6123</t>
  </si>
  <si>
    <t>KHADER KP C/O HUSSAIN HAJI VENGAD</t>
  </si>
  <si>
    <t>Harshad Ibrahim</t>
  </si>
  <si>
    <t>BR/25-26/6124</t>
  </si>
  <si>
    <t>jasmin oman Vailathur</t>
  </si>
  <si>
    <t>CR/25-26/3078</t>
  </si>
  <si>
    <t>JAFAR VP</t>
  </si>
  <si>
    <t>KUTTIKADAVU</t>
  </si>
  <si>
    <t>km jaseela aalachi shivapuaram</t>
  </si>
  <si>
    <t>94955 14893</t>
  </si>
  <si>
    <t>CR/25-26/3084</t>
  </si>
  <si>
    <t>km ayisha 	mooriyadu</t>
  </si>
  <si>
    <t>BASHEER</t>
  </si>
  <si>
    <t>AYAMKULAM MAVOOR</t>
  </si>
  <si>
    <t>rayhanathu	kooriyaadu</t>
  </si>
  <si>
    <t>km rasmina 	mooriyadu</t>
  </si>
  <si>
    <t>75599 62118</t>
  </si>
  <si>
    <t xml:space="preserve">ABOOBACKER HAJI </t>
  </si>
  <si>
    <t>CHEEKODE</t>
  </si>
  <si>
    <t>SHAKEELA KOOTHUPARAMBA</t>
  </si>
  <si>
    <t>80860 22037</t>
  </si>
  <si>
    <t>SAFEERA KOOTHUPARAMBA</t>
  </si>
  <si>
    <t>PK CHERIYAPPU</t>
  </si>
  <si>
    <t>96565 30914</t>
  </si>
  <si>
    <t>MAYMOOANTH MOORIYAD</t>
  </si>
  <si>
    <t>NUSRATH SHIVAPURAM</t>
  </si>
  <si>
    <t xml:space="preserve">JALEEL K </t>
  </si>
  <si>
    <t xml:space="preserve">KOYALI PARAMBIL HOUSE
EDAVANAKKAD (PO)
ERNAKULAM </t>
  </si>
  <si>
    <t>62825 88732</t>
  </si>
  <si>
    <t>MAYMOONA MUZHAKKUNN</t>
  </si>
  <si>
    <t>90618 12926</t>
  </si>
  <si>
    <t>PP MOIDEEN KOYA</t>
  </si>
  <si>
    <t>AZHINJILAM</t>
  </si>
  <si>
    <t xml:space="preserve">SHAJI ABDHUL RAHMAN </t>
  </si>
  <si>
    <t>99466 33949</t>
  </si>
  <si>
    <t>FAJISA SHIVAPURAM</t>
  </si>
  <si>
    <t>89435 28067</t>
  </si>
  <si>
    <t>ISMAIL HAJI</t>
  </si>
  <si>
    <t>PAYAMBALLI (H) MAVOOR</t>
  </si>
  <si>
    <t>KM HASEENA SHIVAPURAM</t>
  </si>
  <si>
    <t>80789 54101</t>
  </si>
  <si>
    <t>KM MARIYAM SHIVAPURAM</t>
  </si>
  <si>
    <t xml:space="preserve">ABDURAHIMAN </t>
  </si>
  <si>
    <t xml:space="preserve">MURATEERI </t>
  </si>
  <si>
    <t>BR 8285</t>
  </si>
  <si>
    <t>RISHANA SHIVAPURAM</t>
  </si>
  <si>
    <t>MUHAMMED</t>
  </si>
  <si>
    <t>KALPALLY</t>
  </si>
  <si>
    <t>VABEEDHA SHIVAPURAM</t>
  </si>
  <si>
    <t>ABUTHAHIR CT</t>
  </si>
  <si>
    <t>RASEENA SHIVAPURAM</t>
  </si>
  <si>
    <t>VAZHAKKAD</t>
  </si>
  <si>
    <t>NABEESA MOORIYAD</t>
  </si>
  <si>
    <t>90379 60996</t>
  </si>
  <si>
    <t>BASHEER C</t>
  </si>
  <si>
    <t>PUNCHAPPADAM</t>
  </si>
  <si>
    <t>SUBAIDHA SHIVAPURAM</t>
  </si>
  <si>
    <t>SAJIR SHIVAPURAM</t>
  </si>
  <si>
    <t>99615 55288</t>
  </si>
  <si>
    <t xml:space="preserve">MUHAMMED JAMSHEER </t>
  </si>
  <si>
    <t>VAZHAYOOR</t>
  </si>
  <si>
    <t>JASEELA</t>
  </si>
  <si>
    <t>SALEELA</t>
  </si>
  <si>
    <t>KK MOOSA MOULAVI</t>
  </si>
  <si>
    <t>CR/25-26/3085</t>
  </si>
  <si>
    <t>Muhammed Irshad musliyar Ekkapparamb</t>
  </si>
  <si>
    <t>CR/25-26/3090</t>
  </si>
  <si>
    <t>SHAMEER VK</t>
  </si>
  <si>
    <t>Hussain haji Vengad</t>
  </si>
  <si>
    <t>BR/25-26/6180</t>
  </si>
  <si>
    <t>MUHAMMED KUTTY K</t>
  </si>
  <si>
    <t>Sufaira</t>
  </si>
  <si>
    <t>EDAVANNAPARA</t>
  </si>
  <si>
    <t>CR 377</t>
  </si>
  <si>
    <t>BR/25-26/6210</t>
  </si>
  <si>
    <t>RASEENA</t>
  </si>
  <si>
    <t>ABDUL RAZACK E</t>
  </si>
  <si>
    <t>BR/25-26/6227</t>
  </si>
  <si>
    <t>BR/25-26/6262</t>
  </si>
  <si>
    <t>MUHAMMEDALI</t>
  </si>
  <si>
    <t>MUNEER ALL SEASON</t>
  </si>
  <si>
    <t>CR/25-26/3148</t>
  </si>
  <si>
    <t>FIROZ MAHA BAZAR</t>
  </si>
  <si>
    <t>ABDUSAMAD</t>
  </si>
  <si>
    <t>AMEER SALMAN</t>
  </si>
  <si>
    <t>BR 920</t>
  </si>
  <si>
    <t>BR/25-26/6325</t>
  </si>
  <si>
    <t>Sajeer Jp</t>
  </si>
  <si>
    <t>HYDER ALI TP</t>
  </si>
  <si>
    <t>OORKADAVU</t>
  </si>
  <si>
    <t>971 55 675 9674</t>
  </si>
  <si>
    <t>BR/25-26/6326</t>
  </si>
  <si>
    <t>BR/25-26/6347</t>
  </si>
  <si>
    <t>SULAIMAN NP</t>
  </si>
  <si>
    <t>AKODE</t>
  </si>
  <si>
    <t>Shahida ulikkal</t>
  </si>
  <si>
    <t>CR/25-26/3157</t>
  </si>
  <si>
    <t>ZANIL ABDULLA</t>
  </si>
  <si>
    <t>BR/25-26/6359</t>
  </si>
  <si>
    <t>TM KOYA</t>
  </si>
  <si>
    <t>Ismail Hudawi Al Hamd Kondotty</t>
  </si>
  <si>
    <t>CR-3994</t>
  </si>
  <si>
    <t>BR/25-26/6367</t>
  </si>
  <si>
    <t>Faris Abdhul Rahman</t>
  </si>
  <si>
    <t>ABDUL KAREEM VC</t>
  </si>
  <si>
    <t>BR/25-26/6407</t>
  </si>
  <si>
    <t xml:space="preserve"> Sirajudheen k</t>
  </si>
  <si>
    <t>BR/25-26/6418</t>
  </si>
  <si>
    <t xml:space="preserve">JABIRKKA </t>
  </si>
  <si>
    <t>MUNDUMUZHI</t>
  </si>
  <si>
    <t xml:space="preserve">Maimoona Aaralam </t>
  </si>
  <si>
    <t>BR/25-26/6434</t>
  </si>
  <si>
    <t>Shaheerkka Mattannur</t>
  </si>
  <si>
    <t>NOUFAL C/O KUNJIPPA RANDATHANI</t>
  </si>
  <si>
    <t>RANDATHANI</t>
  </si>
  <si>
    <t>9447830001/9020747474</t>
  </si>
  <si>
    <t>BR/25-26/6436</t>
  </si>
  <si>
    <t>BR 529</t>
  </si>
  <si>
    <t xml:space="preserve">Samadka Alqous Mall </t>
  </si>
  <si>
    <t>BR/25-26/6438</t>
  </si>
  <si>
    <t xml:space="preserve">MUHAMMED C/O IBRAHIM HAJI </t>
  </si>
  <si>
    <t>THEYYILAKADAVU</t>
  </si>
  <si>
    <t>9895199990/9633496647</t>
  </si>
  <si>
    <t>BR/25-26/6450</t>
  </si>
  <si>
    <t>Moosa Av Madakkara</t>
  </si>
  <si>
    <t>BR/25-26/6451</t>
  </si>
  <si>
    <t>MUHAMMED THWAHIR</t>
  </si>
  <si>
    <t>JAMEELA HOUSE AYIKKARA POOVALAPP KANNUR CITY PIN 670003</t>
  </si>
  <si>
    <t>9895020502 / 9446020602</t>
  </si>
  <si>
    <t>Amlu fahidha mp</t>
  </si>
  <si>
    <t>BR/25-26/6463</t>
  </si>
  <si>
    <t xml:space="preserve">Shallaja Shahul </t>
  </si>
  <si>
    <t>BR/25-26/6479</t>
  </si>
  <si>
    <t>MANSOOR S</t>
  </si>
  <si>
    <t>SRAMBIKAL</t>
  </si>
  <si>
    <t>shoukathali</t>
  </si>
  <si>
    <t>CR/25-26/3215</t>
  </si>
  <si>
    <t>Uk moosa Haji</t>
  </si>
  <si>
    <t>MANSOOR EK</t>
  </si>
  <si>
    <t>KAMASSERI</t>
  </si>
  <si>
    <t>BR/25-26/6519</t>
  </si>
  <si>
    <t>SBI VKD</t>
  </si>
  <si>
    <t>Tv Musthafa Haji Mowenjery</t>
  </si>
  <si>
    <t>BR/25-26/6549</t>
  </si>
  <si>
    <t>MUHAMMED SHAJI</t>
  </si>
  <si>
    <t>ANAKKUZHIKKARA</t>
  </si>
  <si>
    <t>NA Ismail Master Peringhathur</t>
  </si>
  <si>
    <t>BR/25-26/6570</t>
  </si>
  <si>
    <t>Saleem nallakandy</t>
  </si>
  <si>
    <t>BR/25-26/6572</t>
  </si>
  <si>
    <t>Naseema</t>
  </si>
  <si>
    <t>BR/25-26/6639</t>
  </si>
  <si>
    <t>Muneer Athol</t>
  </si>
  <si>
    <t>BR/25-26/6644</t>
  </si>
  <si>
    <t>Rahees vanimel</t>
  </si>
  <si>
    <t>BR/25-26/6692</t>
  </si>
  <si>
    <t>BR/25-26/6704</t>
  </si>
  <si>
    <t>muhammed Shafi</t>
  </si>
  <si>
    <t>BR/25-26/6710</t>
  </si>
  <si>
    <t>basith haji</t>
  </si>
  <si>
    <t>CR/25-26/3313</t>
  </si>
  <si>
    <t>ok Ali Maanentheri</t>
  </si>
  <si>
    <t>CR/25-26/3328</t>
  </si>
  <si>
    <t>Badarudheen Kuttippala</t>
  </si>
  <si>
    <t>BR/25-26/6724</t>
  </si>
  <si>
    <t xml:space="preserve">Badarudheen Kuttippala </t>
  </si>
  <si>
    <t>BR/25-26/6725</t>
  </si>
  <si>
    <t xml:space="preserve">Mehamood Peringhathoor </t>
  </si>
  <si>
    <t>BR/25-26/6757</t>
  </si>
  <si>
    <t>Thansiha Mattannur</t>
  </si>
  <si>
    <t>SHAREEFATHA PARAPPATH</t>
  </si>
  <si>
    <t>BR/25-26/6786</t>
  </si>
  <si>
    <t>Muhammed Jedha</t>
  </si>
  <si>
    <t>BR/25-26/6800</t>
  </si>
  <si>
    <t>Saneera Aseeba</t>
  </si>
  <si>
    <t>BR/25-26/6807</t>
  </si>
  <si>
    <t>Sarooma Kannur</t>
  </si>
  <si>
    <t>BR/25-26/6817</t>
  </si>
  <si>
    <t xml:space="preserve">Safiya ,najma, Naseeba,Nadhiya </t>
  </si>
  <si>
    <t>BR/25-26/6842</t>
  </si>
  <si>
    <t>Namshid Vv Jathiyeri</t>
  </si>
  <si>
    <t>BR/25-26/6843</t>
  </si>
  <si>
    <t>BR/25-26/6850</t>
  </si>
  <si>
    <t>BR/25-26/6852</t>
  </si>
  <si>
    <t>Rafika Jedha</t>
  </si>
  <si>
    <t>BR/25-26/6867</t>
  </si>
  <si>
    <t>BR/25-26/6887</t>
  </si>
  <si>
    <t>BR/25-26/6902</t>
  </si>
  <si>
    <t>BR/25-26/6905</t>
  </si>
  <si>
    <t>BR/25-26/6922</t>
  </si>
  <si>
    <t xml:space="preserve">Faris Abdhu rahman </t>
  </si>
  <si>
    <t>BR/25-26/6925</t>
  </si>
  <si>
    <t>Mahamood=500, Hajara=500,Juvairiya=500,Jubair=500, Fathima=500</t>
  </si>
  <si>
    <t>BR/25-26/6975</t>
  </si>
  <si>
    <t>YAMANI - BLR</t>
  </si>
  <si>
    <t>CR/25-26/3382</t>
  </si>
  <si>
    <t>AYAS</t>
  </si>
  <si>
    <t>CR/25-26/3384</t>
  </si>
  <si>
    <t>shameera</t>
  </si>
  <si>
    <t>BR/25-26/7026</t>
  </si>
  <si>
    <t>Arafathu</t>
  </si>
  <si>
    <t>BR/25-26/7058</t>
  </si>
  <si>
    <t>Ummer =500,ramla =500,sainaba=500,thahira katheeja=500, saleem=500</t>
  </si>
  <si>
    <t>BR/25-26/7080</t>
  </si>
  <si>
    <t>Dr Ameer Al</t>
  </si>
  <si>
    <t>BR/25-26/7090</t>
  </si>
  <si>
    <t>Yousuf</t>
  </si>
  <si>
    <t>BR/25-26/7099</t>
  </si>
  <si>
    <t>Amlu Fahida</t>
  </si>
  <si>
    <t>BR/25-26/7105</t>
  </si>
  <si>
    <t>RAIHANATH</t>
  </si>
  <si>
    <t>CR/25-26/3407</t>
  </si>
  <si>
    <t>Nafeesa Edayoor</t>
  </si>
  <si>
    <t>BR/25-26/7128</t>
  </si>
  <si>
    <t>FASIL FATHIMA</t>
  </si>
  <si>
    <t>BR/25-26/7131</t>
  </si>
  <si>
    <t>Ashref Mattathoor</t>
  </si>
  <si>
    <t>RAFEEQ USTHAD</t>
  </si>
  <si>
    <t>BR/25-26/7170</t>
  </si>
  <si>
    <t>Yousuf Kadambhuzha</t>
  </si>
  <si>
    <t>BR/25-26/7180</t>
  </si>
  <si>
    <t>Ummer haji Peringhathur</t>
  </si>
  <si>
    <t>BR/25-26/7214</t>
  </si>
  <si>
    <t>Adhil Kallai Ajman</t>
  </si>
  <si>
    <t>MAIMOONA</t>
  </si>
  <si>
    <t>HUSSAINKA</t>
  </si>
  <si>
    <t>CR/25-26/3451</t>
  </si>
  <si>
    <t>JABIR</t>
  </si>
  <si>
    <t>BR/25-26/7273</t>
  </si>
  <si>
    <t xml:space="preserve">ABDULLA HAJI THUNERI KANNUR </t>
  </si>
  <si>
    <t>6TH EVERY MONTH</t>
  </si>
  <si>
    <t>CR/25-26/3500</t>
  </si>
  <si>
    <t xml:space="preserve">YOUSUF KADAMPUZHA </t>
  </si>
  <si>
    <t>BR/25-26/7354</t>
  </si>
  <si>
    <t>SHAHEER MUNDEKKATTIL</t>
  </si>
  <si>
    <t>5TH EVERY MONTH</t>
  </si>
  <si>
    <t>BR/25-26/7361</t>
  </si>
  <si>
    <t>SAJEER MADATHIL</t>
  </si>
  <si>
    <t>BR/25-26/7362</t>
  </si>
  <si>
    <t>MUNEER ATHOLI</t>
  </si>
  <si>
    <t>ella masaavum 15, march 15 muthal start cheyyam</t>
  </si>
  <si>
    <t>BR/25-26/7375</t>
  </si>
  <si>
    <t>SUFAIRA</t>
  </si>
  <si>
    <t>BR/25-26/7376</t>
  </si>
  <si>
    <t>MARAKKAR KT</t>
  </si>
  <si>
    <t>1000 vitt screenshot innale ayachu kduthittund,  ella masavum10 thiyyathii orayakkuka</t>
  </si>
  <si>
    <t>BR/25-26/7378</t>
  </si>
  <si>
    <t>NIYAZ VV CHERUMOTH</t>
  </si>
  <si>
    <t>BR/25-26/7421</t>
  </si>
  <si>
    <t>BADRUDHEEN KUTTIPPALA</t>
  </si>
  <si>
    <t>BR/25-26/7437</t>
  </si>
  <si>
    <t>mininjannu thannu.3 nu ormayakkam</t>
  </si>
  <si>
    <t>USMAN HAJIVENGARA</t>
  </si>
  <si>
    <t>CR/25-26/3552</t>
  </si>
  <si>
    <t>BASITH HAJI</t>
  </si>
  <si>
    <t>ormayakkanamennilla. ella masavum mudangathe ayakkum</t>
  </si>
  <si>
    <t>CR/25-26/3571</t>
  </si>
  <si>
    <t>BASHEER TIRUR</t>
  </si>
  <si>
    <t>BR/25-26/7522</t>
  </si>
  <si>
    <t>RAYISHADALI KURUVA</t>
  </si>
  <si>
    <t>BR/25-26/7528</t>
  </si>
  <si>
    <t>marchiled koduthittund, receipt thettiyo enna doubt und. april muthal ead date um prashnamilla.</t>
  </si>
  <si>
    <t>MUHAMMED AJWED</t>
  </si>
  <si>
    <t>BR/25-26/7533</t>
  </si>
  <si>
    <t>MUHAMMED KUTTY</t>
  </si>
  <si>
    <t>box aanu vendathu. ethichu tharan pattumonnu nammod nokkan</t>
  </si>
  <si>
    <t>CR/25-26/3597</t>
  </si>
  <si>
    <t>BR/25-26/7557</t>
  </si>
  <si>
    <t>NAMSHID</t>
  </si>
  <si>
    <t>innale ayachittund.. screeshot aachittilla..drivingilaanu..ead date um okay aanu</t>
  </si>
  <si>
    <t>BR/25-26/7561</t>
  </si>
  <si>
    <t>BR/25-26/7588</t>
  </si>
  <si>
    <t xml:space="preserve">FARIS ABDU RAHMAN </t>
  </si>
  <si>
    <t>BR/25-26/7601</t>
  </si>
  <si>
    <t>BR/25-26/7606</t>
  </si>
  <si>
    <t>NAFEESA</t>
  </si>
  <si>
    <t>innale ayachad marchile koottanam, pinne ella masavum 6 thiyyathi ormayakkanam</t>
  </si>
  <si>
    <t>BR/25-26/7642</t>
  </si>
  <si>
    <t>ABID</t>
  </si>
  <si>
    <t>BR/25-26/7645</t>
  </si>
  <si>
    <t>RAHEES VANIMEL</t>
  </si>
  <si>
    <t>BR/25-26/7656</t>
  </si>
  <si>
    <t>ARSHAD VM</t>
  </si>
  <si>
    <t>BR/25-26/7663</t>
  </si>
  <si>
    <t>BR/25-26/7684</t>
  </si>
  <si>
    <t>thirichu vilikam</t>
  </si>
  <si>
    <t>BR/25-26/7686</t>
  </si>
  <si>
    <t>SHAJIKKA DUBAI</t>
  </si>
  <si>
    <t>BR/25-26/7689</t>
  </si>
  <si>
    <t>KHALID AYYOOB</t>
  </si>
  <si>
    <t>BR/25-26/7690</t>
  </si>
  <si>
    <t xml:space="preserve">ABOOBACKER </t>
  </si>
  <si>
    <t>HAMEED FAIZY KODIYAMMAL</t>
  </si>
  <si>
    <t>BR/25-26/7727</t>
  </si>
  <si>
    <t>BR/25-26/7728</t>
  </si>
  <si>
    <t>1-5 nullil ead date um okay aanu</t>
  </si>
  <si>
    <t>BR/25-26/7757</t>
  </si>
  <si>
    <t>ABOOBACKER</t>
  </si>
  <si>
    <t>BR/25-26/7760</t>
  </si>
  <si>
    <t>KC SUHARA</t>
  </si>
  <si>
    <t>BR/25-26/7768</t>
  </si>
  <si>
    <t>MOYTHEEN V</t>
  </si>
  <si>
    <t xml:space="preserve">HUSSAINKA </t>
  </si>
  <si>
    <t>CR/25-26/3670</t>
  </si>
  <si>
    <t>AMLU FATHIMA</t>
  </si>
  <si>
    <t>BR/25-26/7791</t>
  </si>
  <si>
    <t>5 nu oormappeduthuka</t>
  </si>
  <si>
    <t>BR/25-26/7815</t>
  </si>
  <si>
    <t>Hafique ali Shahiba Manzil Peravoor Kannur</t>
  </si>
  <si>
    <t>BR/25-26/7861</t>
  </si>
  <si>
    <t xml:space="preserve">SAIDALAVI THUVVAKKAD </t>
  </si>
  <si>
    <t>CR/25-26/3705</t>
  </si>
  <si>
    <t>YASIR ARAFATH</t>
  </si>
  <si>
    <t>BR/25-26/7871</t>
  </si>
  <si>
    <t>BR/25-26/7872</t>
  </si>
  <si>
    <t>25-30 nullil oormappeduthuka</t>
  </si>
  <si>
    <t>MANUPPAT TC</t>
  </si>
  <si>
    <t>BR/25-26/7905</t>
  </si>
  <si>
    <t>JAFAR TC</t>
  </si>
  <si>
    <t>BR/25-26/7906</t>
  </si>
  <si>
    <t>FAIJU MON</t>
  </si>
  <si>
    <t>BASHEERKKA KUTTIKADAV</t>
  </si>
  <si>
    <t>BR/25-26/7940</t>
  </si>
  <si>
    <t>ARIF MUHAMMED TRISSUR</t>
  </si>
  <si>
    <t>BR/25-26/7943</t>
  </si>
  <si>
    <t>Ummer Haji Peringhathur</t>
  </si>
  <si>
    <t>BR/25-26/7947</t>
  </si>
  <si>
    <t>SAJEER NADAPURAM</t>
  </si>
  <si>
    <t>BR/25-26/7971</t>
  </si>
  <si>
    <t>ASHRAF MATTATHUR</t>
  </si>
  <si>
    <t>BR/25-26/7976</t>
  </si>
  <si>
    <t>BR/25-26/8005</t>
  </si>
  <si>
    <t xml:space="preserve">HASEEBA </t>
  </si>
  <si>
    <t>BR/25-26/8040</t>
  </si>
  <si>
    <t>ABDURAHEEM AK</t>
  </si>
  <si>
    <t>BR/25-26/8041</t>
  </si>
  <si>
    <t>NIYAZ VV</t>
  </si>
  <si>
    <t>BR/25-26/8048</t>
  </si>
  <si>
    <t>SHAFEEQUE MARK &amp; SAVE</t>
  </si>
  <si>
    <t>BR/25-26/8050</t>
  </si>
  <si>
    <t>BR/25-26/8051</t>
  </si>
  <si>
    <t xml:space="preserve">SHAHEER MUNDEKKATTIL </t>
  </si>
  <si>
    <t>BR/25-26/8052</t>
  </si>
  <si>
    <t>UK MOOSA HAJI</t>
  </si>
  <si>
    <t>BR/25-26/8069</t>
  </si>
  <si>
    <t>SHAJARUDHEEN</t>
  </si>
  <si>
    <t>RAMDAN 3</t>
  </si>
  <si>
    <t>CR/25-26/3776</t>
  </si>
  <si>
    <t xml:space="preserve">MUJEEB RAHMAN ANAKKAYAM </t>
  </si>
  <si>
    <t>BR/25-26/8212</t>
  </si>
  <si>
    <t>ABID INDUSTRIAL WORK</t>
  </si>
  <si>
    <t>BR/25-26/8256</t>
  </si>
  <si>
    <t>BR/25-26/8295</t>
  </si>
  <si>
    <t>MOOSA EDAKKOTT</t>
  </si>
  <si>
    <t>CR/25-26/3851</t>
  </si>
  <si>
    <t>SHIBILI KANNUR</t>
  </si>
  <si>
    <t>BR/25-26/8362</t>
  </si>
  <si>
    <t>JAFER MUNDERI</t>
  </si>
  <si>
    <t>BR/25-26/8365</t>
  </si>
  <si>
    <t xml:space="preserve">AHMMED SEETHI </t>
  </si>
  <si>
    <t>SAFI COLLEGE</t>
  </si>
  <si>
    <t>BR/25-26/8387</t>
  </si>
  <si>
    <t>BR/25-26/8388</t>
  </si>
  <si>
    <t>FIAC APPROVALS</t>
  </si>
  <si>
    <t>BR/25-26/8389</t>
  </si>
  <si>
    <t>AJMAL KK</t>
  </si>
  <si>
    <t>CR/25-26/3864</t>
  </si>
  <si>
    <t xml:space="preserve">VARAM MUHAMMED HAJI </t>
  </si>
  <si>
    <t>CR/25-26/3867</t>
  </si>
  <si>
    <t>ZUHRABI KONDOTTY</t>
  </si>
  <si>
    <t>BR/25-26/8425</t>
  </si>
  <si>
    <t>SIDHEEQ USTHAD</t>
  </si>
  <si>
    <t>CR/25-26/3898</t>
  </si>
  <si>
    <t>NAMSHID VV JATHIYERI</t>
  </si>
  <si>
    <t>BR/25-26/8497</t>
  </si>
  <si>
    <t>BR/25-26/8498</t>
  </si>
  <si>
    <t>SUBAIDA</t>
  </si>
  <si>
    <t>CR/25-26/3902</t>
  </si>
  <si>
    <t>BR/25-26/8523</t>
  </si>
  <si>
    <t>BR/25-26/8535</t>
  </si>
  <si>
    <t>BR/25-26/8671</t>
  </si>
  <si>
    <t>BR/25-26/8994</t>
  </si>
  <si>
    <t>SUBAIR CHALIL EDACHERI</t>
  </si>
  <si>
    <t>+97455264145</t>
  </si>
  <si>
    <t>BR/25-26/9508</t>
  </si>
  <si>
    <t>DAVOOD CV PARAPPUR , CHERIYAPARAMBA</t>
  </si>
  <si>
    <t>BR/25-26/10134</t>
  </si>
  <si>
    <t>SAFIYA</t>
  </si>
  <si>
    <t>BR/25-26/10461</t>
  </si>
  <si>
    <t>SAIDALAVI</t>
  </si>
  <si>
    <t>+9633489150</t>
  </si>
  <si>
    <t>BR/25-26/10518</t>
  </si>
  <si>
    <t>BR/25-26/10688</t>
  </si>
  <si>
    <t>DR JUNAID</t>
  </si>
  <si>
    <t>BR/25-26/10732</t>
  </si>
  <si>
    <t>ASMABI MANIKOTH</t>
  </si>
  <si>
    <t>BR/25-26/10898</t>
  </si>
  <si>
    <t>FATHIMA</t>
  </si>
  <si>
    <t>BR/25-26/10904</t>
  </si>
  <si>
    <t>UMMER HAJI PERINGATHUR</t>
  </si>
  <si>
    <t>BR/25-26/10906</t>
  </si>
  <si>
    <t>+974333798583</t>
  </si>
  <si>
    <t>BR/25-26/10919</t>
  </si>
  <si>
    <t>ARIF KADAVALLUR</t>
  </si>
  <si>
    <t>+97155406708</t>
  </si>
  <si>
    <t>BR/25-26/10969</t>
  </si>
  <si>
    <t>BR/25-26/10982</t>
  </si>
  <si>
    <t>ABDUL RASHEED PK</t>
  </si>
  <si>
    <t>BR/25-26/11128</t>
  </si>
  <si>
    <t>SHUHAIB</t>
  </si>
  <si>
    <t>BR/25-26/11129</t>
  </si>
  <si>
    <t>ABDU SALEEM KV</t>
  </si>
  <si>
    <t>BR/25-26/11148</t>
  </si>
  <si>
    <t>BR/25-26/11163</t>
  </si>
  <si>
    <t>SHUHAIB DUBAI</t>
  </si>
  <si>
    <t>+97188862004</t>
  </si>
  <si>
    <t>BR/25-26/11191</t>
  </si>
  <si>
    <t>YASAR ARAFATH</t>
  </si>
  <si>
    <t>+971528588595</t>
  </si>
  <si>
    <t>BR/25-26/11266</t>
  </si>
  <si>
    <t>BR/25-26/11267</t>
  </si>
  <si>
    <t>SHAFEEQ KAKKATTIL</t>
  </si>
  <si>
    <t>+971564337350</t>
  </si>
  <si>
    <t>BR/25-26/11370</t>
  </si>
  <si>
    <t>BR/25-26/11786</t>
  </si>
  <si>
    <t>Sip And Dine Shaheer sreekandapuram</t>
  </si>
  <si>
    <t>BR/25-26/11849</t>
  </si>
  <si>
    <t>shaheer shreekandapuram</t>
  </si>
  <si>
    <t>BR/25-26/11954</t>
  </si>
  <si>
    <t>BR/25-26/12103</t>
  </si>
  <si>
    <t>MUHAMMED BASHEER</t>
  </si>
  <si>
    <t>BR/25-26/12219</t>
  </si>
  <si>
    <t>BR/25-26/13341</t>
  </si>
  <si>
    <t>SHAMSUDHEEN PATTAMBI</t>
  </si>
  <si>
    <t>BR/25-26/13354</t>
  </si>
  <si>
    <t>HABEEB CP</t>
  </si>
  <si>
    <t>+971556184243</t>
  </si>
  <si>
    <t>BR/25-26/13416</t>
  </si>
  <si>
    <t>BR/25-26/14044</t>
  </si>
  <si>
    <t>AYOOB KC VELLIYAPPARAMBA</t>
  </si>
  <si>
    <t>+971529021730</t>
  </si>
  <si>
    <t>BR/25-26/14219</t>
  </si>
  <si>
    <t>BR/25-26/14284</t>
  </si>
  <si>
    <t>NIYAS VV CHERUMOTH</t>
  </si>
  <si>
    <t>BR/25-26/14458</t>
  </si>
  <si>
    <t>BR/26-27/765</t>
  </si>
  <si>
    <t>ISHAQ MANIKKOTH</t>
  </si>
  <si>
    <t>BR/25-26/14623</t>
  </si>
  <si>
    <t>+91747443000</t>
  </si>
  <si>
    <t>BR/25-26/14638</t>
  </si>
  <si>
    <t>+917447443000</t>
  </si>
  <si>
    <t>BR/25-26/14639</t>
  </si>
  <si>
    <t>BR/25-26/14640</t>
  </si>
  <si>
    <t>RUKHIYA KARAKKUNNU</t>
  </si>
  <si>
    <t>BR/25-26/14665</t>
  </si>
  <si>
    <t>SUBAIR AMBALATHANI</t>
  </si>
  <si>
    <t>CR/25-26/4119</t>
  </si>
  <si>
    <t>+971559578165</t>
  </si>
  <si>
    <t>BR/25-26/14684</t>
  </si>
  <si>
    <t>RAIHANATH KADAMPUZHA</t>
  </si>
  <si>
    <t>BR/25-26/14689</t>
  </si>
  <si>
    <t>BR/25-26/14690</t>
  </si>
  <si>
    <t>BEEVI ILLATH METHAL</t>
  </si>
  <si>
    <t>BR/25-26/14700</t>
  </si>
  <si>
    <t>+971564684459</t>
  </si>
  <si>
    <t>BR/25-26/14702</t>
  </si>
  <si>
    <t>ASMA ASHRAF KADAVATHUR</t>
  </si>
  <si>
    <t>BR/25-26/14703</t>
  </si>
  <si>
    <t>MUJEEBKA MATTATHUR</t>
  </si>
  <si>
    <t>+9715066776990</t>
  </si>
  <si>
    <t>BR/25-26/14772</t>
  </si>
  <si>
    <t>R/25-26/15039</t>
  </si>
  <si>
    <t>JAFAR OTTAKKANDY</t>
  </si>
  <si>
    <t>BR/25-26/15222</t>
  </si>
  <si>
    <t>BR/25-26/15324</t>
  </si>
  <si>
    <t>BR/25-26/15325</t>
  </si>
  <si>
    <t>YOUSUF</t>
  </si>
  <si>
    <t>+971558758313</t>
  </si>
  <si>
    <t>BR/25-26/15441</t>
  </si>
  <si>
    <t>Muhsina Ibrahim</t>
  </si>
  <si>
    <t>BR/26-27/780</t>
  </si>
  <si>
    <t>Arif kadavallur</t>
  </si>
  <si>
    <t>+971554086708</t>
  </si>
  <si>
    <t>BR/26-27/813</t>
  </si>
  <si>
    <t>BR/26-27/825</t>
  </si>
  <si>
    <t>HAMEEDKA PATTAMBI</t>
  </si>
  <si>
    <t>CR/25-26/4240</t>
  </si>
  <si>
    <t>SUBAIR</t>
  </si>
  <si>
    <t>CR/25-26/4206</t>
  </si>
  <si>
    <t>HAMEED</t>
  </si>
  <si>
    <t>SHAHARBAN</t>
  </si>
  <si>
    <t>CR/25-26/4246</t>
  </si>
  <si>
    <t>SALEEM MUNDAKKAL</t>
  </si>
  <si>
    <t>CR/25-26/4253</t>
  </si>
  <si>
    <t xml:space="preserve">YOUSUF </t>
  </si>
  <si>
    <t>CR/25-26/4264</t>
  </si>
  <si>
    <t>ASMABI</t>
  </si>
  <si>
    <t>BR/25-26/15568</t>
  </si>
  <si>
    <t>Dr. Shameem Thailankeri</t>
  </si>
  <si>
    <t>BR/26-27/827</t>
  </si>
  <si>
    <t>BR/26-27/20</t>
  </si>
  <si>
    <t>MURSHID KK</t>
  </si>
  <si>
    <t>BR/26-27/43</t>
  </si>
  <si>
    <t>CR/26-27/23</t>
  </si>
  <si>
    <t>Rahees k vanimel</t>
  </si>
  <si>
    <t>BR/26-27/911</t>
  </si>
  <si>
    <t>BR/26-27/65</t>
  </si>
  <si>
    <t>BR/26-27/973</t>
  </si>
  <si>
    <t>DR SHAMEEM THILLANKERI</t>
  </si>
  <si>
    <t>BR/26-27/87</t>
  </si>
  <si>
    <t>RAHEES K VANIMEL</t>
  </si>
  <si>
    <t>BR/26-27/112</t>
  </si>
  <si>
    <t>SHAHEED ALI</t>
  </si>
  <si>
    <t>BR/26-27/209</t>
  </si>
  <si>
    <t>BR/26-27/227</t>
  </si>
  <si>
    <t xml:space="preserve">NOUSHADKA </t>
  </si>
  <si>
    <t>CR/26-27/85</t>
  </si>
  <si>
    <t>RASHID</t>
  </si>
  <si>
    <t>CR/26-27/86</t>
  </si>
  <si>
    <t>JAMSHEER PUNCHAPPADAM</t>
  </si>
  <si>
    <t>CR/26-27/96</t>
  </si>
  <si>
    <t>ABDUL KADHER</t>
  </si>
  <si>
    <t>+971505275385</t>
  </si>
  <si>
    <t>BR/26-27/302</t>
  </si>
  <si>
    <t>BR/26-27/342</t>
  </si>
  <si>
    <t>BR/26-27/974</t>
  </si>
  <si>
    <t>Ramla</t>
  </si>
  <si>
    <t>BR/26-27/1013</t>
  </si>
  <si>
    <t>SHAHANA</t>
  </si>
  <si>
    <t>CR/26-27/105</t>
  </si>
  <si>
    <t>Thaveer mattannur</t>
  </si>
  <si>
    <t>+971522263798</t>
  </si>
  <si>
    <t>BR/26-27/1033</t>
  </si>
  <si>
    <t>Rameesa jahan</t>
  </si>
  <si>
    <t>BR/26-27/1116</t>
  </si>
  <si>
    <t>paid completely CR-3887 - 1-3-26</t>
  </si>
  <si>
    <t>CR/26-27/141</t>
  </si>
  <si>
    <t>MOOSA HAJI</t>
  </si>
  <si>
    <t xml:space="preserve">Uk Moos haji </t>
  </si>
  <si>
    <t>+97433798583</t>
  </si>
  <si>
    <t>BR/26-27/1192</t>
  </si>
  <si>
    <t>TP ABDULLA HAJI POYILOOR</t>
  </si>
  <si>
    <t>+97430404449</t>
  </si>
  <si>
    <t>BR/26-27/501</t>
  </si>
  <si>
    <t>Kunjabdulla Haji Hooli Thuvvakunn</t>
  </si>
  <si>
    <t>BR/26-27/510</t>
  </si>
  <si>
    <t>Abdul Hameed Haji Panoor</t>
  </si>
  <si>
    <t>BR/26-27/511</t>
  </si>
  <si>
    <t>BR/26-27/1205</t>
  </si>
  <si>
    <t>Murshid KK Keezhallur</t>
  </si>
  <si>
    <t>BR/26-27/1291</t>
  </si>
  <si>
    <t>BR/26-27/515</t>
  </si>
  <si>
    <t>CR/26-27/178</t>
  </si>
  <si>
    <t>+971564084459</t>
  </si>
  <si>
    <t>BR/26-27/582</t>
  </si>
  <si>
    <t xml:space="preserve">KABEERKKA ULIYIL </t>
  </si>
  <si>
    <t>+966502260048</t>
  </si>
  <si>
    <t>BR/26-27/634</t>
  </si>
  <si>
    <t>KABEERKKA ULIYIL</t>
  </si>
  <si>
    <t>BR/26-27/635</t>
  </si>
  <si>
    <t>BR/26-27/636</t>
  </si>
  <si>
    <t>BR/26-27/644</t>
  </si>
  <si>
    <t>BR/26-27/652</t>
  </si>
  <si>
    <t>BR/26-27/653</t>
  </si>
  <si>
    <t>BR/26-27/654</t>
  </si>
  <si>
    <t>BR/26-27/655</t>
  </si>
  <si>
    <t>BR/26-27/656</t>
  </si>
  <si>
    <t>BR/26-27/679</t>
  </si>
  <si>
    <t>BR/26-27/687</t>
  </si>
  <si>
    <t>BR/26-27/688</t>
  </si>
  <si>
    <t>MURSHID KK KEEZHALLUR</t>
  </si>
  <si>
    <t>BR/26-27/728</t>
  </si>
  <si>
    <t>BR/26-27/742</t>
  </si>
  <si>
    <t>BR/26-27/743</t>
  </si>
  <si>
    <t xml:space="preserve">SHAJARUDHEEN </t>
  </si>
  <si>
    <t>CR/26-27/289</t>
  </si>
  <si>
    <t>AYISHA HAJJUMMA</t>
  </si>
  <si>
    <t>CR/26-27/291</t>
  </si>
  <si>
    <t>KHADEEJA</t>
  </si>
  <si>
    <t>MUSTHAFA HUDAWI AKODE</t>
  </si>
  <si>
    <t>CR/26-27/300</t>
  </si>
  <si>
    <t>RAHMATH ( WIFE OF MUSTHAFA HUDAWI )</t>
  </si>
  <si>
    <t>Total</t>
  </si>
  <si>
    <t>SHAREEF</t>
  </si>
  <si>
    <t>RAFEEQ MATTANNUR</t>
  </si>
  <si>
    <t>CR/26-27/337</t>
  </si>
  <si>
    <t>SHARAFUNNEESA</t>
  </si>
  <si>
    <t>CR/26-27/341</t>
  </si>
  <si>
    <t>MUHAMMED SHAFEEQ</t>
  </si>
  <si>
    <t>CR/26-27/418</t>
  </si>
  <si>
    <t>SAJEER MADATHIL NADAPURAM</t>
  </si>
  <si>
    <t>BR/26-27/1430</t>
  </si>
  <si>
    <t>DR MUHSIN FEROKE</t>
  </si>
  <si>
    <t>BR/26-27/1497</t>
  </si>
  <si>
    <t>BR/26-27/1498</t>
  </si>
  <si>
    <t>BR/26-27/1511</t>
  </si>
  <si>
    <t>BR/26-27/1514</t>
  </si>
  <si>
    <t>SHAHEER</t>
  </si>
  <si>
    <t>BR/26-27/1681</t>
  </si>
  <si>
    <t>BR/26-27/1716</t>
  </si>
  <si>
    <t>BR/26-27/1742</t>
  </si>
  <si>
    <t>JASMIN</t>
  </si>
  <si>
    <t>CR/26-27/460</t>
  </si>
  <si>
    <t>SIRAJ</t>
  </si>
  <si>
    <t xml:space="preserve">BASHEERKKA </t>
  </si>
  <si>
    <t>+966507141029</t>
  </si>
  <si>
    <t>BR/26-27/1783</t>
  </si>
  <si>
    <t>BASHEERKKA</t>
  </si>
  <si>
    <t>BR/26-27/1784</t>
  </si>
  <si>
    <t>JAMSHEER</t>
  </si>
  <si>
    <t>CR/26-27/464</t>
  </si>
  <si>
    <t>MUHAMMED SALIH</t>
  </si>
  <si>
    <t>BR/26-27/1820</t>
  </si>
  <si>
    <t>BR/26-27/1848</t>
  </si>
  <si>
    <t>BR/26-27/1854</t>
  </si>
  <si>
    <t>BR/26-27/1940</t>
  </si>
  <si>
    <t>MUHAMMED THAHIR</t>
  </si>
  <si>
    <t>BR/26-27/1957</t>
  </si>
  <si>
    <t>SAREENA</t>
  </si>
  <si>
    <t>BR/26-27/2009</t>
  </si>
  <si>
    <t>AMLU FAHIDHA</t>
  </si>
  <si>
    <t>BR/26-27/2049</t>
  </si>
  <si>
    <t>RAZAK HAJI IRITTY</t>
  </si>
  <si>
    <t>CR/26-27/516</t>
  </si>
  <si>
    <t>ASHRAF</t>
  </si>
  <si>
    <t>CR/26-27/531</t>
  </si>
  <si>
    <t>CR/26-27/546</t>
  </si>
  <si>
    <t>ABDULLA HAJI &amp; NAFEESA</t>
  </si>
  <si>
    <t>BR/26-27/2108</t>
  </si>
  <si>
    <t>+9715554086708</t>
  </si>
  <si>
    <t>BR/26-27/2123</t>
  </si>
  <si>
    <t>SHAHEED</t>
  </si>
  <si>
    <t>BR/26-27/2134</t>
  </si>
  <si>
    <t>ABDU SALEEM</t>
  </si>
  <si>
    <t>BR/26-27/2138</t>
  </si>
  <si>
    <t>BR/26-27/2139</t>
  </si>
  <si>
    <t>BR/26-27/2140</t>
  </si>
  <si>
    <t>C KADEEJA</t>
  </si>
  <si>
    <t>CR/26-27/555</t>
  </si>
  <si>
    <t>KM SALEELA</t>
  </si>
  <si>
    <t>AYISHA</t>
  </si>
  <si>
    <t xml:space="preserve">FATHIMA KAYVELIKKAL  </t>
  </si>
  <si>
    <t>CR/26-27/559</t>
  </si>
  <si>
    <t>FATHIMA KAYVELIKKAL</t>
  </si>
  <si>
    <t>SHAHINA KARUVANTHIRUTHI</t>
  </si>
  <si>
    <t>BR/26-27/2180</t>
  </si>
  <si>
    <t>BR/26-27/2200</t>
  </si>
  <si>
    <t>BADRUDHEEN PARAMMAL</t>
  </si>
  <si>
    <t>BR/26-27/2226</t>
  </si>
  <si>
    <t>BR/26-27/2227</t>
  </si>
  <si>
    <t>HARSHINA</t>
  </si>
  <si>
    <t>CR/26-27/598</t>
  </si>
  <si>
    <t>shabad</t>
  </si>
  <si>
    <t>CR/26-27/601</t>
  </si>
  <si>
    <t xml:space="preserve">najla k </t>
  </si>
  <si>
    <t>CR/26-27/602</t>
  </si>
  <si>
    <t>BR/26-27/2340</t>
  </si>
  <si>
    <t>BR/26-27/2341</t>
  </si>
  <si>
    <t>BR/25-26/5204</t>
  </si>
  <si>
    <t xml:space="preserve">Ismiail Master </t>
  </si>
  <si>
    <t>BR/25-26/5226</t>
  </si>
  <si>
    <t>BR/25-26/5227</t>
  </si>
  <si>
    <t>Saneedh Iritty</t>
  </si>
  <si>
    <t>BR/25-26/5235</t>
  </si>
  <si>
    <t>BR/25-26/5240</t>
  </si>
  <si>
    <t xml:space="preserve">Fathima  Mannarakkadu </t>
  </si>
  <si>
    <t>BR/25-26/5247</t>
  </si>
  <si>
    <t>BR/25-26/5249</t>
  </si>
  <si>
    <t>BR/25-26/5262</t>
  </si>
  <si>
    <t xml:space="preserve">MUJEEBKA </t>
  </si>
  <si>
    <t>CR/26-27/603</t>
  </si>
  <si>
    <t>MUJEEBKA</t>
  </si>
  <si>
    <t xml:space="preserve">Shahina  Karuvanthirutty </t>
  </si>
  <si>
    <t>BR/25-26/5267</t>
  </si>
  <si>
    <t>LOLAT TYPING</t>
  </si>
  <si>
    <t>ASKAR YASIN</t>
  </si>
  <si>
    <t>YASEEN KUNJU</t>
  </si>
  <si>
    <t xml:space="preserve">Uk Moosa Haji </t>
  </si>
  <si>
    <t>BR/25-26/5279</t>
  </si>
  <si>
    <t>YASER YASEEN</t>
  </si>
  <si>
    <t>YASEEN ZUBAIR</t>
  </si>
  <si>
    <t>BR/25-26/5291</t>
  </si>
  <si>
    <t>ABDULLAKUTTY AK</t>
  </si>
  <si>
    <t>SHAMSEER YASEEN</t>
  </si>
  <si>
    <t>SHAFEEQ LOLT</t>
  </si>
  <si>
    <t>MUNAVVER LOLT</t>
  </si>
  <si>
    <t>ANWAR LOLT</t>
  </si>
  <si>
    <t>Fathima Vadakara</t>
  </si>
  <si>
    <t>BR/25-26/5354</t>
  </si>
  <si>
    <t>ANAS YASEEN</t>
  </si>
  <si>
    <t xml:space="preserve">Amlu Fahida </t>
  </si>
  <si>
    <t>BR/25-26/5385</t>
  </si>
  <si>
    <t>Khadeeja</t>
  </si>
  <si>
    <t>BR/25-26/5393</t>
  </si>
  <si>
    <t>Ameen Kodinhi</t>
  </si>
  <si>
    <t>BR/25-26/5396</t>
  </si>
  <si>
    <t>Fathima Shijeef</t>
  </si>
  <si>
    <t>BR/25-26/5416</t>
  </si>
  <si>
    <t>Dr Muhsin Feroke</t>
  </si>
  <si>
    <t>BR/25-26/5486</t>
  </si>
  <si>
    <t>Maharjana - Rasiya -  Fayisa</t>
  </si>
  <si>
    <t>BR/25-26/5582</t>
  </si>
  <si>
    <t>YASEEN BUTEENA</t>
  </si>
  <si>
    <t>Fayisa</t>
  </si>
  <si>
    <t>BR/25-26/5583</t>
  </si>
  <si>
    <t>DATES SHOP YASEEN</t>
  </si>
  <si>
    <t>BR/25-26/5586</t>
  </si>
  <si>
    <t>FAISA ROCKY</t>
  </si>
  <si>
    <t>KHALID</t>
  </si>
  <si>
    <t>BR/25-26/5592</t>
  </si>
  <si>
    <t>ISMAIL YASEEN</t>
  </si>
  <si>
    <t>SADIQ YASEEN</t>
  </si>
  <si>
    <t>Ummer Haji  Peringhathoor</t>
  </si>
  <si>
    <t>BR/25-26/5600</t>
  </si>
  <si>
    <t>BAWABT TYPING</t>
  </si>
  <si>
    <t>LOLAT BR</t>
  </si>
  <si>
    <t>BR/25-26/5637</t>
  </si>
  <si>
    <t>JALEEL LOLAT</t>
  </si>
  <si>
    <t>BR/25-26/5639</t>
  </si>
  <si>
    <t>JAFER KP</t>
  </si>
  <si>
    <t>NASARKA</t>
  </si>
  <si>
    <t>CR/26-27/604</t>
  </si>
  <si>
    <t>ASKAR YASEEN</t>
  </si>
  <si>
    <t xml:space="preserve">MJEEBKA </t>
  </si>
  <si>
    <t>ANWR LOLT</t>
  </si>
  <si>
    <t>FAISAL ROCKY</t>
  </si>
  <si>
    <t>SATHAAR KK</t>
  </si>
  <si>
    <t>MUNEER K</t>
  </si>
  <si>
    <t>CR/26-27/605</t>
  </si>
  <si>
    <t xml:space="preserve">ASKAR YASEEN </t>
  </si>
  <si>
    <t xml:space="preserve">YASER YASEEN </t>
  </si>
  <si>
    <t>ANAS LOLT</t>
  </si>
  <si>
    <t xml:space="preserve">DATES SHOP YASEEN </t>
  </si>
  <si>
    <t>RASHID VP</t>
  </si>
  <si>
    <t>CR/26-27/607</t>
  </si>
  <si>
    <t>BR/26-27/2457</t>
  </si>
  <si>
    <t>BR/26-27/2517</t>
  </si>
  <si>
    <t>AFRA</t>
  </si>
  <si>
    <t>CR/26-27/641</t>
  </si>
  <si>
    <t>BR/26-27/2566</t>
  </si>
  <si>
    <t>BR/26-27/2571</t>
  </si>
  <si>
    <t>BR/26-27/2588</t>
  </si>
  <si>
    <t>BR/26-27/2608</t>
  </si>
  <si>
    <t>BR/26-27/2615</t>
  </si>
  <si>
    <t>BR/26-27/2642</t>
  </si>
  <si>
    <t>BR/26-27/2644</t>
  </si>
  <si>
    <t>BR/26-27/2645</t>
  </si>
  <si>
    <t>BR/26-27/2646</t>
  </si>
  <si>
    <t>BR/26-27/2648</t>
  </si>
  <si>
    <t>BR/26-27/2654</t>
  </si>
  <si>
    <t>MN ASEES PARAD</t>
  </si>
  <si>
    <t>BR/26-27/2655</t>
  </si>
  <si>
    <t>CR/26-27/709</t>
  </si>
  <si>
    <t>BR/26-27/2749</t>
  </si>
  <si>
    <t>ARIFA</t>
  </si>
  <si>
    <t>BR/26-27/2770</t>
  </si>
  <si>
    <t>BR/26-27/2774</t>
  </si>
  <si>
    <t>BR/26-27/2780</t>
  </si>
  <si>
    <t xml:space="preserve">FASEELA </t>
  </si>
  <si>
    <t>CR/26-27/737</t>
  </si>
  <si>
    <t>CR/26-27/738</t>
  </si>
  <si>
    <t>BR/26-27/2854</t>
  </si>
  <si>
    <t>SOOPY HAJI</t>
  </si>
  <si>
    <t>BR/26-27/2859</t>
  </si>
  <si>
    <t>CR/26-27/770</t>
  </si>
  <si>
    <t>RAMLA KM</t>
  </si>
  <si>
    <t>BR/26-27/2897</t>
  </si>
  <si>
    <t xml:space="preserve">NAZEEMA </t>
  </si>
  <si>
    <t>HAMEED FAIZY</t>
  </si>
  <si>
    <t>CR/26-27/782</t>
  </si>
  <si>
    <t>BR/26-27/2919</t>
  </si>
  <si>
    <t>ABDUL SALAM PP</t>
  </si>
  <si>
    <t>BR/26-27/2938</t>
  </si>
  <si>
    <t>SHAHEER NELLISHERI</t>
  </si>
  <si>
    <t>BR/26-27/3001</t>
  </si>
  <si>
    <t>ABDURAHIMAN</t>
  </si>
  <si>
    <t>BR/26-27/3002</t>
  </si>
  <si>
    <t>NABHAN THAIKKADAN , SWAGATHAMADU</t>
  </si>
  <si>
    <t>BR/26-27/3070</t>
  </si>
  <si>
    <t>HAFSATH</t>
  </si>
  <si>
    <t>CR/25-26/4079</t>
  </si>
  <si>
    <t>Rahees K vanimal</t>
  </si>
  <si>
    <t>BR/26-27/3098</t>
  </si>
  <si>
    <t>Salaam Ayyapnkavu kannur</t>
  </si>
  <si>
    <t>+966550368045</t>
  </si>
  <si>
    <t>BR/26-27/3146</t>
  </si>
  <si>
    <t>CR/26-27/829</t>
  </si>
  <si>
    <t xml:space="preserve">YASEER YASEEN </t>
  </si>
  <si>
    <t>ABDULLA KUTTY AK</t>
  </si>
  <si>
    <t xml:space="preserve">SHAMSEER YASEEN </t>
  </si>
  <si>
    <t>SHAFEEQ LOLAT</t>
  </si>
  <si>
    <t>ANWAR LOLAT</t>
  </si>
  <si>
    <t xml:space="preserve">KHALID </t>
  </si>
  <si>
    <t>UMMUSALMA C</t>
  </si>
  <si>
    <t>HABEEB THAHEEL</t>
  </si>
  <si>
    <t>SIRAJ YASEEN</t>
  </si>
  <si>
    <t>RASIYA MAMBA</t>
  </si>
  <si>
    <t>CR/25-26/2567</t>
  </si>
  <si>
    <t>JAFAR EDAVANNAPPARA</t>
  </si>
  <si>
    <t>CR/25-26/2615</t>
  </si>
  <si>
    <t>ABDHUL NAZAR</t>
  </si>
  <si>
    <t>CR/25-26/2635</t>
  </si>
  <si>
    <t>RISHAL</t>
  </si>
  <si>
    <t>HUSSAINKA MATTANNUR</t>
  </si>
  <si>
    <t>CR/25-26/2700</t>
  </si>
  <si>
    <t>SOUDHABI</t>
  </si>
  <si>
    <t>HUSAINKA MATTANNUR</t>
  </si>
  <si>
    <t>CR/25-26/2721</t>
  </si>
  <si>
    <t>KP MOOSA HAJI</t>
  </si>
  <si>
    <t xml:space="preserve">JASMIN C/O KP MOOSA HAJI </t>
  </si>
  <si>
    <t>AYISHA MOOSA</t>
  </si>
  <si>
    <t>JASMIN VAILATHUR</t>
  </si>
  <si>
    <t>CR/25-26/2728</t>
  </si>
  <si>
    <t>ONE SISTER</t>
  </si>
  <si>
    <t>MEELAD KANNUR 2025</t>
  </si>
  <si>
    <t>CR/25-26/2785</t>
  </si>
  <si>
    <t>CR/25-26/2846</t>
  </si>
  <si>
    <t>HIGH LITE</t>
  </si>
  <si>
    <t>JAMEELA EDASSERIKADAVU</t>
  </si>
  <si>
    <t>CR/25-26/2873</t>
  </si>
  <si>
    <t>MUHAMMADALI PARITHIKODE</t>
  </si>
  <si>
    <t>SUMAYYA PARITHIKODE</t>
  </si>
  <si>
    <t>BR/25-26/4361</t>
  </si>
  <si>
    <t>BR/25-26/4365</t>
  </si>
  <si>
    <t>Ayshu Nadaappuram</t>
  </si>
  <si>
    <t>BR/25-26/4372</t>
  </si>
  <si>
    <t>Pullisheri Jameela  Kuttykadavu</t>
  </si>
  <si>
    <t>BR/25-26/4379</t>
  </si>
  <si>
    <t>BR/25-26/4391</t>
  </si>
  <si>
    <t>BR/25-26/4419</t>
  </si>
  <si>
    <t>Shaheer Mattannur</t>
  </si>
  <si>
    <t>BR/25-26/4445</t>
  </si>
  <si>
    <t>Ismail Sambriyekkal</t>
  </si>
  <si>
    <t>BR/25-26/4472</t>
  </si>
  <si>
    <t xml:space="preserve">Minnu Mumthaz </t>
  </si>
  <si>
    <t>BR/25-26/4508</t>
  </si>
  <si>
    <t>BR/25-26/4530</t>
  </si>
  <si>
    <t>Zakkariya</t>
  </si>
  <si>
    <t>BR/25-26/4554</t>
  </si>
  <si>
    <t>BR/25-26/4665</t>
  </si>
  <si>
    <t xml:space="preserve">Musthafa haji </t>
  </si>
  <si>
    <t>BR/25-26/4716</t>
  </si>
  <si>
    <t>Mubashira</t>
  </si>
  <si>
    <t>BR/25-26/4814</t>
  </si>
  <si>
    <t xml:space="preserve">Sulfi Rasheed </t>
  </si>
  <si>
    <t>BR/25-26/4826</t>
  </si>
  <si>
    <t>Maimoona  edavannappara</t>
  </si>
  <si>
    <t>BR/25-26/5001</t>
  </si>
  <si>
    <t xml:space="preserve">Ismail Na </t>
  </si>
  <si>
    <t>BR/25-26/5003</t>
  </si>
  <si>
    <t>Afsal yp</t>
  </si>
  <si>
    <t>+971554659009</t>
  </si>
  <si>
    <t>BR/25-26/5048</t>
  </si>
  <si>
    <t>RABITHA PAYANTHODE</t>
  </si>
  <si>
    <t>HUSAINKA</t>
  </si>
  <si>
    <t>CR/25-26/2304</t>
  </si>
  <si>
    <t>MUSTHAFA MP IRITTY</t>
  </si>
  <si>
    <t>CR/25-26/2331</t>
  </si>
  <si>
    <t>BASITH HAJI KAKKOVE</t>
  </si>
  <si>
    <t>CR/25-26/2421</t>
  </si>
  <si>
    <t>MUHAMMED IRSHAD MUSLIYAR EKKAPARAMB</t>
  </si>
  <si>
    <t>SHAJARUDHEEN ERANJIKKAL</t>
  </si>
  <si>
    <t>CR/25-26/2422</t>
  </si>
  <si>
    <t>BR/25-26/5083</t>
  </si>
  <si>
    <t>Aboobacker</t>
  </si>
  <si>
    <t>BR/25-26/5110</t>
  </si>
  <si>
    <t>BR/25-26/5111</t>
  </si>
  <si>
    <t>Shakeela Wayanad</t>
  </si>
  <si>
    <t>BR/25-26/5177</t>
  </si>
  <si>
    <t>SHOUKATHALI MAMPAD</t>
  </si>
  <si>
    <t>CR/25-26/2007</t>
  </si>
  <si>
    <t>KHAIRUNNISSA</t>
  </si>
  <si>
    <t>CR/25-26/2016</t>
  </si>
  <si>
    <t xml:space="preserve">JASMIN </t>
  </si>
  <si>
    <t>SIDEEQ USTHAD</t>
  </si>
  <si>
    <t>CR/25-26/2172</t>
  </si>
  <si>
    <t>SHAFI CT CHEMMAD</t>
  </si>
  <si>
    <t>CR/25-26/2175</t>
  </si>
  <si>
    <t>UMMER</t>
  </si>
  <si>
    <t>CR/25-26/2229</t>
  </si>
  <si>
    <t>CR/25-26/2230</t>
  </si>
  <si>
    <t>FATHIMA ANVAR DUBAI</t>
  </si>
  <si>
    <t>BR/25-26/3762</t>
  </si>
  <si>
    <t>MARIYAKKUTTY THAZHVARAM</t>
  </si>
  <si>
    <t>BR/25-26/3781</t>
  </si>
  <si>
    <t>BR/25-26/3792</t>
  </si>
  <si>
    <t>JASNA ULLIYERI</t>
  </si>
  <si>
    <t>BR/25-26/3798</t>
  </si>
  <si>
    <t>FATHIMA MATTANNUR</t>
  </si>
  <si>
    <t>BR/25-26/3801</t>
  </si>
  <si>
    <t>MUHAMMED SABEEH</t>
  </si>
  <si>
    <t>BR/25-26/3804</t>
  </si>
  <si>
    <t>BR/25-26/3807</t>
  </si>
  <si>
    <t>BR/25-26/3821</t>
  </si>
  <si>
    <t>KADEEJA MUNDUMUZHI</t>
  </si>
  <si>
    <t>BR/25-26/3835</t>
  </si>
  <si>
    <t>BR/25-26/3839</t>
  </si>
  <si>
    <t>KUNHAMI</t>
  </si>
  <si>
    <t>BR/26-27/3156</t>
  </si>
  <si>
    <t>BR/26-27/3171</t>
  </si>
  <si>
    <t>BR/26-27/3195</t>
  </si>
  <si>
    <t>BR/26-27/3212</t>
  </si>
  <si>
    <t>YASAR VANIMEL</t>
  </si>
  <si>
    <t>BR/26-27/3214</t>
  </si>
  <si>
    <t>BR/26-27/3215</t>
  </si>
  <si>
    <t>BR/25-26/3853</t>
  </si>
  <si>
    <t>RAIHA MARAYAMANGALAM</t>
  </si>
  <si>
    <t>BR/25-26/3869</t>
  </si>
  <si>
    <t>AFEEFA</t>
  </si>
  <si>
    <t>BR/25-26/3871</t>
  </si>
  <si>
    <t>FATHIMA MANNARKKAD</t>
  </si>
  <si>
    <t>BR/25-26/3872</t>
  </si>
  <si>
    <t>KEERAN USMAN PARAD</t>
  </si>
  <si>
    <t>BR/25-26/3944</t>
  </si>
  <si>
    <t>MUSTHAFA HAJI MOUVANCHERY</t>
  </si>
  <si>
    <t>BR/25-26/3987</t>
  </si>
  <si>
    <t>SUHARA MERUVAMBAYI</t>
  </si>
  <si>
    <t>BR/25-26/4007</t>
  </si>
  <si>
    <t>MINNU MUMTHAZ</t>
  </si>
  <si>
    <t>BR/25-26/4113</t>
  </si>
  <si>
    <t>SAFEENA</t>
  </si>
  <si>
    <t>BR/25-26/4200-4205</t>
  </si>
  <si>
    <t>BR/25-26/4299</t>
  </si>
  <si>
    <t>BR/25-26/3230</t>
  </si>
  <si>
    <t>CR/25-26/1653</t>
  </si>
  <si>
    <t>BR/25-26/3236</t>
  </si>
  <si>
    <t>BR/25-26/3239</t>
  </si>
  <si>
    <t>CR/25-26/1655</t>
  </si>
  <si>
    <t>BR/25-26/3253</t>
  </si>
  <si>
    <t>SUHARA THEYYALA</t>
  </si>
  <si>
    <t>BR/25-26/3331</t>
  </si>
  <si>
    <t>BR/25-26/3358</t>
  </si>
  <si>
    <t>974 33798583</t>
  </si>
  <si>
    <t>BR/25-26/3363</t>
  </si>
  <si>
    <t>BR/25-26/3364</t>
  </si>
  <si>
    <t>RAMLA W/O UMMER HAJI PERINGATHOOR</t>
  </si>
  <si>
    <t>BR/25-26/3378</t>
  </si>
  <si>
    <t>BR/25-26/3380</t>
  </si>
  <si>
    <t>SAJIDA KOOTHUPARAMBA</t>
  </si>
  <si>
    <t>BR/25-26/3383</t>
  </si>
  <si>
    <t>BR/25-26/3384</t>
  </si>
  <si>
    <t>RAHEENA VELLIPPARAMBA</t>
  </si>
  <si>
    <t>BR/25-26/3392</t>
  </si>
  <si>
    <t>SAINUL ABID MATTANNUR</t>
  </si>
  <si>
    <t>CR/25-26/1742</t>
  </si>
  <si>
    <t>ANSAR PERUVANAYI</t>
  </si>
  <si>
    <t>BR/25-26/3430</t>
  </si>
  <si>
    <t>SAJIDA PUVANAYI</t>
  </si>
  <si>
    <t>BR/25-26/3431</t>
  </si>
  <si>
    <t>CVK USMAN</t>
  </si>
  <si>
    <t xml:space="preserve">MUNEER </t>
  </si>
  <si>
    <t>CR/25-26/1771</t>
  </si>
  <si>
    <t>FIROZ</t>
  </si>
  <si>
    <t>MUNEER ALL SEOSON</t>
  </si>
  <si>
    <t>CR/25-26/1781</t>
  </si>
  <si>
    <t xml:space="preserve">JAMAL KHAN FATHIMA ANDAMAN </t>
  </si>
  <si>
    <t>BR/25-26/3458</t>
  </si>
  <si>
    <t>BR/25-26/3459</t>
  </si>
  <si>
    <t>FATHIMA ARIMBRA</t>
  </si>
  <si>
    <t>CR/25-26/1814</t>
  </si>
  <si>
    <t>BASHEER BIDARKAD</t>
  </si>
  <si>
    <t>BR/25-26/3482</t>
  </si>
  <si>
    <t>NASEEMA PONNANI</t>
  </si>
  <si>
    <t>BR/25-26/3487</t>
  </si>
  <si>
    <t>JASMIN VAILATHOOR</t>
  </si>
  <si>
    <t>CR/25-26/1822</t>
  </si>
  <si>
    <t>YOUSUF KADAMPUZHA</t>
  </si>
  <si>
    <t>BR/25-26/3523</t>
  </si>
  <si>
    <t>Raheem Kp Edacherithalayi</t>
  </si>
  <si>
    <t>BR/25-26/3581</t>
  </si>
  <si>
    <t>AMAL APP</t>
  </si>
  <si>
    <t>Abdul Salam</t>
  </si>
  <si>
    <t>Arshida</t>
  </si>
  <si>
    <t>Abdul Rahman ck</t>
  </si>
  <si>
    <t>Abdulrahman Ck</t>
  </si>
  <si>
    <t>Faisal</t>
  </si>
  <si>
    <t>Mansoor</t>
  </si>
  <si>
    <t>mansoor</t>
  </si>
  <si>
    <t>Nil</t>
  </si>
  <si>
    <t>Firos</t>
  </si>
  <si>
    <t>NISAMUDEEN</t>
  </si>
  <si>
    <t>NISAMUDEEN MP</t>
  </si>
  <si>
    <t>Saifunneesa</t>
  </si>
  <si>
    <t>MUHAMMED AHZAM</t>
  </si>
  <si>
    <t>Rashid</t>
  </si>
  <si>
    <t>Jamseena Ramshad</t>
  </si>
  <si>
    <t>Musthafa P K</t>
  </si>
  <si>
    <t>Farin</t>
  </si>
  <si>
    <t>Mohamed Paredath</t>
  </si>
  <si>
    <t>Noufal Valappil</t>
  </si>
  <si>
    <t>MAIMOONA PERAVOOR</t>
  </si>
  <si>
    <t>BR/25-26/3591</t>
  </si>
  <si>
    <t>SHAREENA COORG</t>
  </si>
  <si>
    <t>BR/25-26/3596</t>
  </si>
  <si>
    <t>NASEEMA CHOORAPPATTA</t>
  </si>
  <si>
    <t>BR/25-26/3597</t>
  </si>
  <si>
    <t>SARA ERATTAMUZHI</t>
  </si>
  <si>
    <t>BR/25-26/3603</t>
  </si>
  <si>
    <t>FATHIMA SHIJEEF KOTTAYAM</t>
  </si>
  <si>
    <t>BR/25-26/3607</t>
  </si>
  <si>
    <t>RASEENA HABEEB CHERUVADI</t>
  </si>
  <si>
    <t>BR/25-26/3608</t>
  </si>
  <si>
    <t>UMMU KULSU CHOORAPPATTA</t>
  </si>
  <si>
    <t>BR/25-26/3609</t>
  </si>
  <si>
    <t>RUKSANA ANDAMAN</t>
  </si>
  <si>
    <t>BR/25-26/3616</t>
  </si>
  <si>
    <t>Yooseph Chalikara</t>
  </si>
  <si>
    <t>BR/25-26/3622</t>
  </si>
  <si>
    <t>Khairunnisa Perumanna - Pulikkathayam</t>
  </si>
  <si>
    <t>BR/25-26/3628</t>
  </si>
  <si>
    <t xml:space="preserve">SHAHEER VP DEIRA </t>
  </si>
  <si>
    <t xml:space="preserve">971 552586186 </t>
  </si>
  <si>
    <t>BR/25-26/3654</t>
  </si>
  <si>
    <t>RASEENA KANNUR</t>
  </si>
  <si>
    <t>BR/25-26/3667</t>
  </si>
  <si>
    <t>RAMSEENA DAIYA THAZHVARAM</t>
  </si>
  <si>
    <t>SHAREEATHA PARAPPATH</t>
  </si>
  <si>
    <t>BR/25-26/3675</t>
  </si>
  <si>
    <t>BR/25-26/3682</t>
  </si>
  <si>
    <t>Hasna Safvan Pattambi</t>
  </si>
  <si>
    <t>BR/25-26/3684</t>
  </si>
  <si>
    <t>HARIS PATTAMBI</t>
  </si>
  <si>
    <t>BR/25-26/3697</t>
  </si>
  <si>
    <t>BR/25-26/3713</t>
  </si>
  <si>
    <t>Ameera Peringolam</t>
  </si>
  <si>
    <t>BR/25-26/3733</t>
  </si>
  <si>
    <t>SAINABA CHEROOPA</t>
  </si>
  <si>
    <t>BR/25-26/3734</t>
  </si>
  <si>
    <t>RAIHANATH CHERUVADI</t>
  </si>
  <si>
    <t>BR/25-26/3735</t>
  </si>
  <si>
    <t>BR/25-26/2089</t>
  </si>
  <si>
    <t>BR/25-26/2096</t>
  </si>
  <si>
    <t>BR/25-26/2161</t>
  </si>
  <si>
    <t>974 3379 8583</t>
  </si>
  <si>
    <t>BR/25-26/2267</t>
  </si>
  <si>
    <t>BR/25-26/2309</t>
  </si>
  <si>
    <t>BR/25-26/2324</t>
  </si>
  <si>
    <t>PK SAKEENA</t>
  </si>
  <si>
    <t>BR/25-26/2337</t>
  </si>
  <si>
    <t>BR/25-26/2539</t>
  </si>
  <si>
    <t>BR/25-26/2666 - 2670</t>
  </si>
  <si>
    <t>BADRUDHEENKUTTIPPALA</t>
  </si>
  <si>
    <t>44 7778067103</t>
  </si>
  <si>
    <t>BR/25-26/2676</t>
  </si>
  <si>
    <t>BR/25-26/2725</t>
  </si>
  <si>
    <t>FAIZAL MATTANNUR</t>
  </si>
  <si>
    <t>971 56 194 6465</t>
  </si>
  <si>
    <t>BR/25-26/2887</t>
  </si>
  <si>
    <t>MOHAMMED SALI</t>
  </si>
  <si>
    <t>BR/25-26/2900</t>
  </si>
  <si>
    <t>BR/25-26/2965</t>
  </si>
  <si>
    <t>Thameem S/o Naseer Venmanal Anjarakandy</t>
  </si>
  <si>
    <t>BR/25-26/3012</t>
  </si>
  <si>
    <t>ABDULLA HAJI THUVAKKUNNU</t>
  </si>
  <si>
    <t>BR/25-26/3021</t>
  </si>
  <si>
    <t>BUSHRA MATTANNUR</t>
  </si>
  <si>
    <t>BR/25-26/3091</t>
  </si>
  <si>
    <t>Kuruvali Mammu Haji &amp; Maimoona</t>
  </si>
  <si>
    <t>BR/25-26/3183</t>
  </si>
  <si>
    <t>Sneha Koodu Whatsapp Kootayima</t>
  </si>
  <si>
    <t>Hairunnisa Pazhassi</t>
  </si>
  <si>
    <t>BR/25-26/3184</t>
  </si>
  <si>
    <t>BR/25-26/1384</t>
  </si>
  <si>
    <t>CR/25-26/1138</t>
  </si>
  <si>
    <t>CR/25-26/1143</t>
  </si>
  <si>
    <t>BR/25-26/1434</t>
  </si>
  <si>
    <t>Dr Ameer Ali MArikkar</t>
  </si>
  <si>
    <t>BR/25-26/1437</t>
  </si>
  <si>
    <t>BR/25-26/1438</t>
  </si>
  <si>
    <t>BR/25-26/1584</t>
  </si>
  <si>
    <t>Musthafa Haji Mowanchery</t>
  </si>
  <si>
    <t>BR/25-26/1592</t>
  </si>
  <si>
    <t>BR/25-26/1614</t>
  </si>
  <si>
    <t>Subaida ,Suhair ,Bava Pc ,Shihab Pc , Subaidah , Suhair</t>
  </si>
  <si>
    <t>CR/25-26/1251</t>
  </si>
  <si>
    <t>BR/25-26/1660</t>
  </si>
  <si>
    <t>BR/25-26/1672</t>
  </si>
  <si>
    <t>BR/25-26/1683</t>
  </si>
  <si>
    <t>BR/25-26/1735</t>
  </si>
  <si>
    <t>Kuruvali Mammu Haji And Wife Maimoona</t>
  </si>
  <si>
    <t>BR/25-26/1812</t>
  </si>
  <si>
    <t>BR/25-26/1813</t>
  </si>
  <si>
    <t>Jasmin D/o Ayisha Hajjumma - Vailathoor</t>
  </si>
  <si>
    <t>CR/25-26/1324</t>
  </si>
  <si>
    <t>ABDUL KADER</t>
  </si>
  <si>
    <t>BR/25-26/1946</t>
  </si>
  <si>
    <t>BR/25-26/1955</t>
  </si>
  <si>
    <t>C Abdul Rahman Chavasheri 19 Mile</t>
  </si>
  <si>
    <t>BR/25-26/1977</t>
  </si>
  <si>
    <t>CR/25-26/1359</t>
  </si>
  <si>
    <t>FAZIL PARAKKADAV</t>
  </si>
  <si>
    <t>971 529489105</t>
  </si>
  <si>
    <t>BR/25-26/2017</t>
  </si>
  <si>
    <t>BASITH HAJI KAKKOV</t>
  </si>
  <si>
    <t>CR/25-26/1368</t>
  </si>
  <si>
    <t>BR/25-26/18</t>
  </si>
  <si>
    <t>BR/25-26/31</t>
  </si>
  <si>
    <t>BR/25-26/42</t>
  </si>
  <si>
    <t>ABID MATTANNUR</t>
  </si>
  <si>
    <t>CR/25-26/45</t>
  </si>
  <si>
    <t>NASSARKA IRITTY</t>
  </si>
  <si>
    <t>CR/25-26/153</t>
  </si>
  <si>
    <t>NASARKKA IRITTY</t>
  </si>
  <si>
    <t>CR/25-26/157</t>
  </si>
  <si>
    <t>NASEEMA ULIYIL</t>
  </si>
  <si>
    <t>BR/25-26/269</t>
  </si>
  <si>
    <t>Kadiyamu Chemban</t>
  </si>
  <si>
    <t>CR/25-26/397</t>
  </si>
  <si>
    <t>AJMAL</t>
  </si>
  <si>
    <t>CR/25-26/411</t>
  </si>
  <si>
    <t>AAMI</t>
  </si>
  <si>
    <t>AYISHA PALERI VENGARA</t>
  </si>
  <si>
    <t>CR/25-26/445</t>
  </si>
  <si>
    <t>Afsal Tv Meruvambai</t>
  </si>
  <si>
    <t>971 55 459 0907</t>
  </si>
  <si>
    <t>BR/25-26/422</t>
  </si>
  <si>
    <t>Kunchi Muhammed</t>
  </si>
  <si>
    <t>971 555684235</t>
  </si>
  <si>
    <t>BR/25-26/499</t>
  </si>
  <si>
    <t>Abdurahiman</t>
  </si>
  <si>
    <t>CR/25-26/656</t>
  </si>
  <si>
    <t>Rasaq Purakally Panoor</t>
  </si>
  <si>
    <t>971 557105858</t>
  </si>
  <si>
    <t>BR/25-26/682</t>
  </si>
  <si>
    <t>LATHEEF</t>
  </si>
  <si>
    <t>BR/25-26/773</t>
  </si>
  <si>
    <t>CR/25-26/734</t>
  </si>
  <si>
    <t>MUHAMMED HAJI</t>
  </si>
  <si>
    <t>CR/25-26/770</t>
  </si>
  <si>
    <t>BR/25-26/942</t>
  </si>
  <si>
    <t>BR/25-26/943</t>
  </si>
  <si>
    <t>Abdul Samad</t>
  </si>
  <si>
    <t>BR/25-26/1023</t>
  </si>
  <si>
    <t>Faisal Meruvambai</t>
  </si>
  <si>
    <t>BR/25-26/1064</t>
  </si>
  <si>
    <t>971 55 177 0360</t>
  </si>
  <si>
    <t>CR/25-26/897</t>
  </si>
  <si>
    <t>RAZAQ HAJI IRITY</t>
  </si>
  <si>
    <t>BR/25-26/1177</t>
  </si>
  <si>
    <t>BR/25-26/1237</t>
  </si>
  <si>
    <t>BR/25-26/1238</t>
  </si>
  <si>
    <t>BIYYATHU KAKKATTIL</t>
  </si>
  <si>
    <t>BR/25-26/1372</t>
  </si>
  <si>
    <t>BUSHRA ALI KOYILANDY</t>
  </si>
  <si>
    <t>BR/24-25/3294</t>
  </si>
  <si>
    <t>BR/24-25/3311</t>
  </si>
  <si>
    <t>BR/24-25/3326</t>
  </si>
  <si>
    <t xml:space="preserve">Muhammed Haji Anjarakkandy </t>
  </si>
  <si>
    <t>KANNUR MEELAD CAMP</t>
  </si>
  <si>
    <t>CR/24-25/4140</t>
  </si>
  <si>
    <t>BR/24-25/3352</t>
  </si>
  <si>
    <t>BR/24-25/3399</t>
  </si>
  <si>
    <t>SHAJARUDHEEN ERANIKKAL</t>
  </si>
  <si>
    <t>CR/24-25/4180</t>
  </si>
  <si>
    <t>ASHRAF TALIPARAMBA</t>
  </si>
  <si>
    <t>CR/24-25/4182</t>
  </si>
  <si>
    <t>SARU</t>
  </si>
  <si>
    <t>MEELAD CAMP</t>
  </si>
  <si>
    <t>CR/24-25/4186</t>
  </si>
  <si>
    <t>SAHALA SHERIN OLAVATUR</t>
  </si>
  <si>
    <t>BR/24-25/3451</t>
  </si>
  <si>
    <t>BR/24-25/3454</t>
  </si>
  <si>
    <t xml:space="preserve">Kunnumuhammed Haji Thottil Palam </t>
  </si>
  <si>
    <t>BR/24-25/3455</t>
  </si>
  <si>
    <t>Kunnumuhammed Haji Thottil Palam</t>
  </si>
  <si>
    <t>BR/24-25/3457</t>
  </si>
  <si>
    <t>BR/24-25/3478</t>
  </si>
  <si>
    <t>BR/24-25/3486</t>
  </si>
  <si>
    <t xml:space="preserve">Fathima Sunthus - Kinasherry </t>
  </si>
  <si>
    <t>CR/24-25/4448</t>
  </si>
  <si>
    <t>BR/24-25/3567</t>
  </si>
  <si>
    <t xml:space="preserve">Nusaiba Muhammed Ali </t>
  </si>
  <si>
    <t>BR/24-25/3602</t>
  </si>
  <si>
    <t>Shahina Karuvanthuruth</t>
  </si>
  <si>
    <t>BR/24-25/3646</t>
  </si>
  <si>
    <t>C/O Mother Of Muhammed Hifz</t>
  </si>
  <si>
    <t>BR/24-25/3701</t>
  </si>
  <si>
    <t>BR/24-25/3751</t>
  </si>
  <si>
    <t>BR/24-25/3754</t>
  </si>
  <si>
    <t>DR AMEERALI</t>
  </si>
  <si>
    <t>BR/24-25/3768</t>
  </si>
  <si>
    <t>BR/24-25/3779</t>
  </si>
  <si>
    <t>BR/24-25/3787</t>
  </si>
  <si>
    <t xml:space="preserve">Nafeesa OV Kanthapuram </t>
  </si>
  <si>
    <t>CR/24-25/4932 TO 4936</t>
  </si>
  <si>
    <t>BR/24-25/3792</t>
  </si>
  <si>
    <t>BR/24-25/3796</t>
  </si>
  <si>
    <t>BR/24-25/3797</t>
  </si>
  <si>
    <t>BR/24-25/3873</t>
  </si>
  <si>
    <t>BR/24-25/3952</t>
  </si>
  <si>
    <t>SAFIYA ALAPPUZHA</t>
  </si>
  <si>
    <t>BR/24-25/3956</t>
  </si>
  <si>
    <t>NASEEMA BEEVI PATHANAMTHITTA</t>
  </si>
  <si>
    <t>BR/24-25/3966</t>
  </si>
  <si>
    <t>BR/24-25/3992</t>
  </si>
  <si>
    <t>CR/24-25/5228</t>
  </si>
  <si>
    <t>MAMMU HAJI KURUVALI</t>
  </si>
  <si>
    <t>CR/24-25/5251</t>
  </si>
  <si>
    <t>CR/24-25/5252</t>
  </si>
  <si>
    <t>BR/24-25/4100</t>
  </si>
  <si>
    <t xml:space="preserve">MUHAMMED ARSHAD </t>
  </si>
  <si>
    <t>BR/24-25/4146</t>
  </si>
  <si>
    <t>BR/24-25/4161</t>
  </si>
  <si>
    <t>BR/24-25/4163</t>
  </si>
  <si>
    <t>BR/24-25/4171</t>
  </si>
  <si>
    <t>BR/24-25/4223</t>
  </si>
  <si>
    <t>BR/24-25/4237</t>
  </si>
  <si>
    <t>BR/24-25/4257</t>
  </si>
  <si>
    <t>Thajitha Nilamboor</t>
  </si>
  <si>
    <t>BR/24-25/4268</t>
  </si>
  <si>
    <t>Sulaikha Kadavathoor</t>
  </si>
  <si>
    <t>CR/24-25/5514</t>
  </si>
  <si>
    <t>CR/24-25/5515</t>
  </si>
  <si>
    <t xml:space="preserve">mammu haji and maimoona </t>
  </si>
  <si>
    <t>BR/24-25/4309</t>
  </si>
  <si>
    <t>CR/24-25/5573</t>
  </si>
  <si>
    <t xml:space="preserve">Safiya Arappuzha </t>
  </si>
  <si>
    <t>BR/24-25/4361</t>
  </si>
  <si>
    <t>BR/24-25/4387</t>
  </si>
  <si>
    <t xml:space="preserve">Hanih Ali Thaliparamb </t>
  </si>
  <si>
    <t>BR/24-25/4405</t>
  </si>
  <si>
    <t>BR/24-25/4456</t>
  </si>
  <si>
    <t>BR/24-25/4480</t>
  </si>
  <si>
    <t>BR/24-25/4486</t>
  </si>
  <si>
    <t>KHAIRUNNISA NAVAS</t>
  </si>
  <si>
    <t>CR/24-25/5711</t>
  </si>
  <si>
    <t>BR/24-25/4512</t>
  </si>
  <si>
    <t>BR/24-25/4516</t>
  </si>
  <si>
    <t>DR AMEERALI MARAKKAR</t>
  </si>
  <si>
    <t>BR/24-25/4547</t>
  </si>
  <si>
    <t>BR/24-25/4564</t>
  </si>
  <si>
    <t>BR/24-25/4565</t>
  </si>
  <si>
    <t>Shabeer Alinchuvadu</t>
  </si>
  <si>
    <t>CR/24-25/5798 TO 5805</t>
  </si>
  <si>
    <t>CR/24-25/5823</t>
  </si>
  <si>
    <t>Abdul Saleem Mundakkal</t>
  </si>
  <si>
    <t>BR/24-25/4775</t>
  </si>
  <si>
    <t>ANEES</t>
  </si>
  <si>
    <t>BR/24-25/4780</t>
  </si>
  <si>
    <t>BR/24-25/4816</t>
  </si>
  <si>
    <t>MAMMUHAJI &amp; MAIMOONA</t>
  </si>
  <si>
    <t>BR/24-25/4864</t>
  </si>
  <si>
    <t>CR/24-25/5983</t>
  </si>
  <si>
    <t xml:space="preserve"> Ashik Ashraf Mattannoor</t>
  </si>
  <si>
    <t>BR/24-25/4928</t>
  </si>
  <si>
    <t>BR/24-25/4950</t>
  </si>
  <si>
    <t>BR/24-25/4990</t>
  </si>
  <si>
    <t>BR/24-25/5000</t>
  </si>
  <si>
    <t>BR/24-25/5012</t>
  </si>
  <si>
    <t xml:space="preserve">ABDUL KADER </t>
  </si>
  <si>
    <t>BR/24-25/5033</t>
  </si>
  <si>
    <t>BR/24-25/5068</t>
  </si>
  <si>
    <t>BR/24-25/5102</t>
  </si>
  <si>
    <t>Hanih Ali Thaliparamab</t>
  </si>
  <si>
    <t>BR/24-25/5175</t>
  </si>
  <si>
    <t>Musthafa Kappili</t>
  </si>
  <si>
    <t>BR/24-25/5226</t>
  </si>
  <si>
    <t xml:space="preserve">Abdu Rahiman Chooriyot </t>
  </si>
  <si>
    <t>BR/24-25/5227</t>
  </si>
  <si>
    <t>BR/24-25/5268</t>
  </si>
  <si>
    <t xml:space="preserve">Musthafa Haji Mowanchery </t>
  </si>
  <si>
    <t>BR/24-25/5287</t>
  </si>
  <si>
    <t>Jasmin Vailathoor</t>
  </si>
  <si>
    <t>CR/24-25/6304</t>
  </si>
  <si>
    <t>Shahina Karuvanthiruthy</t>
  </si>
  <si>
    <t>BR/24-25/5344</t>
  </si>
  <si>
    <t>SHAFEEQ HUDAWI</t>
  </si>
  <si>
    <t>CR/24-25/6337</t>
  </si>
  <si>
    <t>SAITHALAVI</t>
  </si>
  <si>
    <t>MUHAMMED KUTTY KOTTAKKAL</t>
  </si>
  <si>
    <t>CR/24-25/6347</t>
  </si>
  <si>
    <t>Kuruvali Mammuhaji &amp; Maimoona</t>
  </si>
  <si>
    <t>BR/24-25/5396</t>
  </si>
  <si>
    <t xml:space="preserve">Shuhaib Anjarakkandi </t>
  </si>
  <si>
    <t>BR/24-25/5449</t>
  </si>
  <si>
    <t>BR/24-25/5455</t>
  </si>
  <si>
    <t>BR/24-25/5488 &amp; 5489</t>
  </si>
  <si>
    <t>BR/24-25/5492</t>
  </si>
  <si>
    <t>BR/24-25/5498</t>
  </si>
  <si>
    <t>Ummer kutty Kolary</t>
  </si>
  <si>
    <t>971 504689761</t>
  </si>
  <si>
    <t>BR/24-25/5516</t>
  </si>
  <si>
    <t>Abdul Kahder Kunju</t>
  </si>
  <si>
    <t>BR/24-25/5565</t>
  </si>
  <si>
    <t>Rayishadali Kuruva</t>
  </si>
  <si>
    <t>BR/24-25/5593</t>
  </si>
  <si>
    <t>IRSHAD MUSLIYAR EKKAPARAMB</t>
  </si>
  <si>
    <t>CR/24-25/6570</t>
  </si>
  <si>
    <t>Ibrahim Kutty Thaliparamb</t>
  </si>
  <si>
    <t>BR/24-25/5673</t>
  </si>
  <si>
    <t>ASMA KP</t>
  </si>
  <si>
    <t>BR/24-25/5717</t>
  </si>
  <si>
    <t>SUBAIDA POYIL</t>
  </si>
  <si>
    <t>CR/24-25/6573</t>
  </si>
  <si>
    <t>HAMSA KUTTY	RASHEEDA  TEX EDAVANNAPARA</t>
  </si>
  <si>
    <t>CR/24-25/6578</t>
  </si>
  <si>
    <t>CR/24-25/6582</t>
  </si>
  <si>
    <t>KAREEM TALIPARAMB</t>
  </si>
  <si>
    <t>KHADEEJA SHAREEFA THILLANKERI</t>
  </si>
  <si>
    <t>CR/24-25/6585</t>
  </si>
  <si>
    <t>SARA UMMA</t>
  </si>
  <si>
    <t>CR/24-25/6588</t>
  </si>
  <si>
    <t>Minnu Mumthas</t>
  </si>
  <si>
    <t>BR/24-25/5726</t>
  </si>
  <si>
    <t>Basheer Moolappuram</t>
  </si>
  <si>
    <t>CR/24-25/6602</t>
  </si>
  <si>
    <t>Shajarudheen Eranjikkal</t>
  </si>
  <si>
    <t>CR/24-25/6606</t>
  </si>
  <si>
    <t>C AbdulRahman - Fousiya</t>
  </si>
  <si>
    <t>BR/24-25/5875</t>
  </si>
  <si>
    <t>Afsal Panoor</t>
  </si>
  <si>
    <t>BR/24-25/5881</t>
  </si>
  <si>
    <t>Aboobacker Haji Naduvannur</t>
  </si>
  <si>
    <t>BR/24-25/5911</t>
  </si>
  <si>
    <t>RAMLA W/O ABOOBACKER HAJI</t>
  </si>
  <si>
    <t>Maimoona Peravoor</t>
  </si>
  <si>
    <t>BR/24-25/5916</t>
  </si>
  <si>
    <t>Moosa Edakkot Choorapatta</t>
  </si>
  <si>
    <t>CR/24-25/6684</t>
  </si>
  <si>
    <t>PK BASITH HAJI KANPAROTH</t>
  </si>
  <si>
    <t>CR/24-25/6685 &amp; 6686</t>
  </si>
  <si>
    <t>Mumthas Mampuram</t>
  </si>
  <si>
    <t>CR/24-25/6690</t>
  </si>
  <si>
    <t>Rashid Aramam</t>
  </si>
  <si>
    <t>BR/24-25/5939</t>
  </si>
  <si>
    <t>Ishaq Manikoth</t>
  </si>
  <si>
    <t>Jafar Ottakkandy</t>
  </si>
  <si>
    <t>Hameedkka Pattambi</t>
  </si>
  <si>
    <t>BR/24-25/5981</t>
  </si>
  <si>
    <t>BEEVI</t>
  </si>
  <si>
    <t>BR/24-25/6667</t>
  </si>
  <si>
    <t>Sulaikha Panoor</t>
  </si>
  <si>
    <t>BR/24-25/6679</t>
  </si>
  <si>
    <t>Rashid Kuwait</t>
  </si>
  <si>
    <t>BR/24-25/6682</t>
  </si>
  <si>
    <t>BR/24-25/6836</t>
  </si>
  <si>
    <t>Muhammed Eroth</t>
  </si>
  <si>
    <t>BR/24-25/6837</t>
  </si>
  <si>
    <t>BR/24-25/6838</t>
  </si>
  <si>
    <t>Jafer Mailakudy</t>
  </si>
  <si>
    <t>BR/24-25/6840</t>
  </si>
  <si>
    <t>Siraj Illathmeethal</t>
  </si>
  <si>
    <t>BR/24-25/6904</t>
  </si>
  <si>
    <t>Muhammed Eroth Tharopoyil Ayancheri Vadakara</t>
  </si>
  <si>
    <t>BR/24-25/6973</t>
  </si>
  <si>
    <t>BR/24-25/7200</t>
  </si>
  <si>
    <t>Shameel Damam</t>
  </si>
  <si>
    <t>BR/24-25/7268/7269</t>
  </si>
  <si>
    <t>Safiya Tharayil</t>
  </si>
  <si>
    <t>BR/24-25/7306</t>
  </si>
  <si>
    <t>Aysha Perode</t>
  </si>
  <si>
    <t>BR/24-25/7533</t>
  </si>
  <si>
    <t>Kadeeja Mudavantheri</t>
  </si>
  <si>
    <t>BR/24-25/7638</t>
  </si>
  <si>
    <t>BR/24-25/7824</t>
  </si>
  <si>
    <t>BR/24-25/7864</t>
  </si>
  <si>
    <t>BR/24-25/7887</t>
  </si>
  <si>
    <t>Shafeeq Kakkattil</t>
  </si>
  <si>
    <t>971 564337350</t>
  </si>
  <si>
    <t>BR/24-25/8029</t>
  </si>
  <si>
    <t>Arshida Dubai</t>
  </si>
  <si>
    <t>971 558395003</t>
  </si>
  <si>
    <t>BR/24-25/8083</t>
  </si>
  <si>
    <t>Madam Mariyam</t>
  </si>
  <si>
    <t>Saheer Shreekandapuram</t>
  </si>
  <si>
    <t>BR/24-25/8092</t>
  </si>
  <si>
    <t>Asma Hajumma Kanjangat Manikoth</t>
  </si>
  <si>
    <t>BR/24-25/8095</t>
  </si>
  <si>
    <t>BR/24-25/8621</t>
  </si>
  <si>
    <t>JABIRKA DUBAI</t>
  </si>
  <si>
    <t>BR/24-25/8650</t>
  </si>
  <si>
    <t>Jaseer Odakkad</t>
  </si>
  <si>
    <t>BR/24-25/8652</t>
  </si>
  <si>
    <t>Muhammed Haji Iringannur</t>
  </si>
  <si>
    <t>BR/24-25/8656</t>
  </si>
  <si>
    <t>BR/24-25/8658</t>
  </si>
  <si>
    <t>C Abdul Rahman</t>
  </si>
  <si>
    <t>BR/24-25/8866</t>
  </si>
  <si>
    <t>Rabiya Aboobakar Haji</t>
  </si>
  <si>
    <t>RAFEEK MATTANNUR</t>
  </si>
  <si>
    <t>CR/23-24/4477</t>
  </si>
  <si>
    <t>Shajarudheen Erannikara</t>
  </si>
  <si>
    <t>CR/23-24/4502</t>
  </si>
  <si>
    <t>AYSHA VENGARA</t>
  </si>
  <si>
    <t>CR/23-24/4511</t>
  </si>
  <si>
    <t>Abdul Saleem</t>
  </si>
  <si>
    <t>BR/23-24/6624</t>
  </si>
  <si>
    <t>SIDHEEQ ISTHAD</t>
  </si>
  <si>
    <t>CR/23-24/4569</t>
  </si>
  <si>
    <t>MARIYAM</t>
  </si>
  <si>
    <t>BR/23-24/6665</t>
  </si>
  <si>
    <t>Sameera KuttiyadI</t>
  </si>
  <si>
    <t>971 552739110</t>
  </si>
  <si>
    <t>BR/23-24/6671</t>
  </si>
  <si>
    <t>Shijila Parakkal</t>
  </si>
  <si>
    <t>CR/23-24/4610</t>
  </si>
  <si>
    <t>Abdul Salam Mundakkal</t>
  </si>
  <si>
    <t>CR/23-24/4615</t>
  </si>
  <si>
    <t>ANEES KALLAYI</t>
  </si>
  <si>
    <t>BR/23-24/6769</t>
  </si>
  <si>
    <t>BR/23-24/6783</t>
  </si>
  <si>
    <t>Bushra Ali Koylandy</t>
  </si>
  <si>
    <t>BR/23-24/6826</t>
  </si>
  <si>
    <t>BR/23-24/6922</t>
  </si>
  <si>
    <t>Haseena Panor</t>
  </si>
  <si>
    <t>CR/23-24/4756</t>
  </si>
  <si>
    <t>Sibathulla</t>
  </si>
  <si>
    <t>CR/23-24/4768</t>
  </si>
  <si>
    <t>Musthafa Latheef Mattannur</t>
  </si>
  <si>
    <t>BR/23-24/6940</t>
  </si>
  <si>
    <t>From Fathima Shajeef Parakkal</t>
  </si>
  <si>
    <t>BR/23-24/6968</t>
  </si>
  <si>
    <t>Shimla Ismail</t>
  </si>
  <si>
    <t>BR/23-24/6978</t>
  </si>
  <si>
    <t>Noushad Pullorkara</t>
  </si>
  <si>
    <t>BR/23-24/6982</t>
  </si>
  <si>
    <t>Sahodari Koottilangadi</t>
  </si>
  <si>
    <t>BR/23-24/6997</t>
  </si>
  <si>
    <t>Mariyam Bi</t>
  </si>
  <si>
    <t>BR/23-24/7011</t>
  </si>
  <si>
    <t>Jasmin OMAN</t>
  </si>
  <si>
    <t>9746718866)</t>
  </si>
  <si>
    <t>CR/23-24/4883</t>
  </si>
  <si>
    <t>CR/23-24/4899</t>
  </si>
  <si>
    <t>Usman Haji Vengara</t>
  </si>
  <si>
    <t>CR/23-24/4994</t>
  </si>
  <si>
    <t>Sajina Nellikkaparamb</t>
  </si>
  <si>
    <t>CR/23-24/4997</t>
  </si>
  <si>
    <t>Sahodari Hajimukk</t>
  </si>
  <si>
    <t>BR/23-24/7197</t>
  </si>
  <si>
    <t>CR/23-24/5035</t>
  </si>
  <si>
    <t>Rabiya Aboobakar Vazhanthode</t>
  </si>
  <si>
    <t>CR/23-24/5118</t>
  </si>
  <si>
    <t>BR/23-24/7280</t>
  </si>
  <si>
    <t>BR/23-24/7321</t>
  </si>
  <si>
    <t>Naseema Mattannur</t>
  </si>
  <si>
    <t>BR/23-24/7322</t>
  </si>
  <si>
    <t>T V Musthafa Haji Mowanchery</t>
  </si>
  <si>
    <t>BR/23-24/7359</t>
  </si>
  <si>
    <t>Safia Hussain Alappuzha</t>
  </si>
  <si>
    <t>BR/23-24/7351</t>
  </si>
  <si>
    <t>Sahodaran Munderi</t>
  </si>
  <si>
    <t>BR/23-24/7361-7362</t>
  </si>
  <si>
    <t>Faisal Thaikeyil Iringannur</t>
  </si>
  <si>
    <t>971 509377937</t>
  </si>
  <si>
    <t>BR/23-24/7365</t>
  </si>
  <si>
    <t>Sainaba Kadavathur</t>
  </si>
  <si>
    <t>971 567411716</t>
  </si>
  <si>
    <t>BR/23-24/7371</t>
  </si>
  <si>
    <t>Ashique Peravoor</t>
  </si>
  <si>
    <t>CR/23-24/5275 to 5284</t>
  </si>
  <si>
    <t>Muhsina Mumthaz</t>
  </si>
  <si>
    <t>BR/23-24/7518</t>
  </si>
  <si>
    <t>CR/23-24/5461</t>
  </si>
  <si>
    <t>Mariyambi</t>
  </si>
  <si>
    <t>BR/23-24/7626</t>
  </si>
  <si>
    <t>Shafeena</t>
  </si>
  <si>
    <t>971 505275385</t>
  </si>
  <si>
    <t>BR/23-24/7635</t>
  </si>
  <si>
    <t>Rashid Aaramam Kuningad</t>
  </si>
  <si>
    <t>BR/23-24/7641</t>
  </si>
  <si>
    <t>Noushad Illath Meethal</t>
  </si>
  <si>
    <t>BR/23-24/7647</t>
  </si>
  <si>
    <t>Sumayya Kuttur</t>
  </si>
  <si>
    <t>CR/23-24/5553 &amp; 5554</t>
  </si>
  <si>
    <t>Sahodaran</t>
  </si>
  <si>
    <t>BR/23-24/7690</t>
  </si>
  <si>
    <t>Ishaq Manikkoth  Muthuvadathur</t>
  </si>
  <si>
    <t>BR/23-24/7694</t>
  </si>
  <si>
    <t>Jafer Ottakandi  Muthuvadathur</t>
  </si>
  <si>
    <t>BR/23-24/7695</t>
  </si>
  <si>
    <t>Beevi Illathmeethal  Kuningad</t>
  </si>
  <si>
    <t>BR/23-24/7697</t>
  </si>
  <si>
    <t>Fathima Kinashery</t>
  </si>
  <si>
    <t>BR/23-24/7711</t>
  </si>
  <si>
    <t>Muhammed Shafeeque</t>
  </si>
  <si>
    <t>BR/23-24/7730</t>
  </si>
  <si>
    <t>KM Muhammed Ashraf Mattannur</t>
  </si>
  <si>
    <t>BR/23-24/7754</t>
  </si>
  <si>
    <t>Aboobakar Maloor</t>
  </si>
  <si>
    <t>BR/23-24/7804</t>
  </si>
  <si>
    <t>BR/23-24/7807</t>
  </si>
  <si>
    <t>Mahshook Kannur</t>
  </si>
  <si>
    <t>974  33172848</t>
  </si>
  <si>
    <t>BR/23-24/7856</t>
  </si>
  <si>
    <t>Junaid Valliyapalli</t>
  </si>
  <si>
    <t>BR/23-24/7951</t>
  </si>
  <si>
    <t>BR/23-24/7955</t>
  </si>
  <si>
    <t xml:space="preserve">Sidieeque </t>
  </si>
  <si>
    <t>CR/23-24/5738</t>
  </si>
  <si>
    <t>Dr Ameerali Markkar Azhinnilam</t>
  </si>
  <si>
    <t>BR/24-25/20</t>
  </si>
  <si>
    <t>BR/24-25/43</t>
  </si>
  <si>
    <t>Sainaba Naduvannur</t>
  </si>
  <si>
    <t>BR/24-25/85</t>
  </si>
  <si>
    <t>BR/24-25/101</t>
  </si>
  <si>
    <t>Gents World Shameel  Damam</t>
  </si>
  <si>
    <t>BR/24-25/103</t>
  </si>
  <si>
    <t>BR/24-25/104</t>
  </si>
  <si>
    <t>BR/24-25/105</t>
  </si>
  <si>
    <t>Ashraf Mamburam</t>
  </si>
  <si>
    <t>CR/24-25/52 TO 54</t>
  </si>
  <si>
    <t>Muhammed Shafnas</t>
  </si>
  <si>
    <t>BR/24-25/141</t>
  </si>
  <si>
    <t>BR/24-25/154</t>
  </si>
  <si>
    <t>Noushad Anjarakkandy</t>
  </si>
  <si>
    <t>BR/24-25/190</t>
  </si>
  <si>
    <t>BR/24-25/191</t>
  </si>
  <si>
    <t>Khadeeja Areekadan</t>
  </si>
  <si>
    <t>CR/24-25/88 TO 90</t>
  </si>
  <si>
    <t>Ahammed Saeed</t>
  </si>
  <si>
    <t>BR/24-25/242</t>
  </si>
  <si>
    <t>BR/24-25/290</t>
  </si>
  <si>
    <t>Rabiya Mowanchery</t>
  </si>
  <si>
    <t>BR/24-25/296</t>
  </si>
  <si>
    <t>Kareem Haji Thaliparamb</t>
  </si>
  <si>
    <t>BR/24-25/297</t>
  </si>
  <si>
    <t>BR/24-25/314</t>
  </si>
  <si>
    <t>BR/24-25/332</t>
  </si>
  <si>
    <t>BR/24-25/399</t>
  </si>
  <si>
    <t>BR/24-25/418</t>
  </si>
  <si>
    <t>BR/24-25/492</t>
  </si>
  <si>
    <t>BR/24-25/546</t>
  </si>
  <si>
    <t>BR/24-25/566</t>
  </si>
  <si>
    <t>BR/24-25/567</t>
  </si>
  <si>
    <t>Sanofar</t>
  </si>
  <si>
    <t>BR/24-25/579</t>
  </si>
  <si>
    <t>BR/24-25/650</t>
  </si>
  <si>
    <t>Saifunnisa Kottakkal</t>
  </si>
  <si>
    <t>BR/24-25/685</t>
  </si>
  <si>
    <t>BR/24-25/697</t>
  </si>
  <si>
    <t>Shaheer Sreekanadapuram</t>
  </si>
  <si>
    <t>BR/24-25/716</t>
  </si>
  <si>
    <t>Rasheedkka Nesto Dubai</t>
  </si>
  <si>
    <t>BR/24-25/718</t>
  </si>
  <si>
    <t>BR/24-25/806</t>
  </si>
  <si>
    <t>Abdul saleem Mundakkal</t>
  </si>
  <si>
    <t>BR/24-25/812</t>
  </si>
  <si>
    <t>BR/24-25/917</t>
  </si>
  <si>
    <t>Shamseera Thaliparamb</t>
  </si>
  <si>
    <t>BR/24-25/934</t>
  </si>
  <si>
    <t>BR/24-25/943</t>
  </si>
  <si>
    <t>Khadeeja W/O Beeran Kutty Haji</t>
  </si>
  <si>
    <t>CR/24-25/303 TO 307</t>
  </si>
  <si>
    <t>CR/24-25/338</t>
  </si>
  <si>
    <t>laila Veliparamb</t>
  </si>
  <si>
    <t>CR/24-25/591</t>
  </si>
  <si>
    <t>SARA Umma</t>
  </si>
  <si>
    <t>CR/24-25/781</t>
  </si>
  <si>
    <t>BR/24-25/1172</t>
  </si>
  <si>
    <t>Rahima Banglore</t>
  </si>
  <si>
    <t>BR/24-25/1178</t>
  </si>
  <si>
    <t>BR/24-25/1215</t>
  </si>
  <si>
    <t>Ali Kuttipuram</t>
  </si>
  <si>
    <t>CR/24-25/1260 TO 1264</t>
  </si>
  <si>
    <t>Salam Haji Mowanchery</t>
  </si>
  <si>
    <t>BR/24-25/1324</t>
  </si>
  <si>
    <t>Musthafa Haji Iritty</t>
  </si>
  <si>
    <t>BR/24-25/1325</t>
  </si>
  <si>
    <t>BR/24-25/1410</t>
  </si>
  <si>
    <t>Hassan Haji Cheruparamb</t>
  </si>
  <si>
    <t>CR/24-25/1374 TO 1378</t>
  </si>
  <si>
    <t>Safia Hussain</t>
  </si>
  <si>
    <t>BR/24-25/1432</t>
  </si>
  <si>
    <t>Muhammed Rinas</t>
  </si>
  <si>
    <t>CR/24-25/1472</t>
  </si>
  <si>
    <t>Yousaf Thayyil</t>
  </si>
  <si>
    <t>BR/24-25/1471</t>
  </si>
  <si>
    <t>Muhammedali</t>
  </si>
  <si>
    <t>CR/24-25/1480</t>
  </si>
  <si>
    <t>CR/24-25/1494</t>
  </si>
  <si>
    <t>BR/24-25/1538</t>
  </si>
  <si>
    <t>BR/24-25/1553</t>
  </si>
  <si>
    <t>Basheer Vavoor</t>
  </si>
  <si>
    <t>CR/24-25/1658 TO 1661</t>
  </si>
  <si>
    <t>BR/24-25/1598</t>
  </si>
  <si>
    <t>Shajarudheen Erannikkara</t>
  </si>
  <si>
    <t>CR/24-25/1709</t>
  </si>
  <si>
    <t>BR/24-25/1618</t>
  </si>
  <si>
    <t>BR/24-25/1670</t>
  </si>
  <si>
    <t>BR/24-25/1772</t>
  </si>
  <si>
    <t xml:space="preserve">JASMIN OMAN </t>
  </si>
  <si>
    <t>CR/24-25/1858</t>
  </si>
  <si>
    <t>Muhammed Sabeeh</t>
  </si>
  <si>
    <t>BR/24-25/1810</t>
  </si>
  <si>
    <t>CR/24-25/1878</t>
  </si>
  <si>
    <t>BR/24-25/1840</t>
  </si>
  <si>
    <t>Mahmood Peringathur</t>
  </si>
  <si>
    <t>CR/24-25/1886</t>
  </si>
  <si>
    <t>Murshid Muhammed KK</t>
  </si>
  <si>
    <t>BR/24-25/1855</t>
  </si>
  <si>
    <t>Muhammed Sali</t>
  </si>
  <si>
    <t>BR/24-25/1857</t>
  </si>
  <si>
    <t>BR/24-25/1923</t>
  </si>
  <si>
    <t>BR/24-25/1926</t>
  </si>
  <si>
    <t>Abdul Latheef Parad</t>
  </si>
  <si>
    <t>CR/24-25/2189 TO 2193</t>
  </si>
  <si>
    <t>BR/24-25/2047</t>
  </si>
  <si>
    <t>Hanih Ali Thaliparamb</t>
  </si>
  <si>
    <t>BR/24-25/2066</t>
  </si>
  <si>
    <t>Adil Muhammed</t>
  </si>
  <si>
    <t>BR/24-25/2076</t>
  </si>
  <si>
    <t>SEENATH</t>
  </si>
  <si>
    <t>BR/24-25/2077</t>
  </si>
  <si>
    <t>Sidheeque - Kozhikkode</t>
  </si>
  <si>
    <t>CR/24-25/2339</t>
  </si>
  <si>
    <t>CR/24-25/2352</t>
  </si>
  <si>
    <t>Abdu Rahman Mattannur</t>
  </si>
  <si>
    <t>BR/24-25/2123</t>
  </si>
  <si>
    <t>BR/24-25/2153</t>
  </si>
  <si>
    <t>BR/24-25/2180</t>
  </si>
  <si>
    <t>CR/24-25/2495</t>
  </si>
  <si>
    <t>Naseema Saleem Pathanamthitta</t>
  </si>
  <si>
    <t>BR/24-25/2238</t>
  </si>
  <si>
    <t>BR/24-25/2300</t>
  </si>
  <si>
    <t>BR/24-25/2301</t>
  </si>
  <si>
    <t>BR/24-25/2302</t>
  </si>
  <si>
    <t>Jamsheer Hudawi</t>
  </si>
  <si>
    <t>CR/24-25/2731</t>
  </si>
  <si>
    <t>Ajmal KK 19th Mile</t>
  </si>
  <si>
    <t>CR/24-25/2897</t>
  </si>
  <si>
    <t>BR/24-25/2438</t>
  </si>
  <si>
    <t>Suhara Meruvambayi</t>
  </si>
  <si>
    <t>BR/24-25/2460</t>
  </si>
  <si>
    <t>Moideen Munderi</t>
  </si>
  <si>
    <t>BR/24-25/2475</t>
  </si>
  <si>
    <t>BR/24-25/2487</t>
  </si>
  <si>
    <t>BR/24-25/2503</t>
  </si>
  <si>
    <t>Nusaiba</t>
  </si>
  <si>
    <t>BR/24-25/2516</t>
  </si>
  <si>
    <t>CR/24-25/3159</t>
  </si>
  <si>
    <t>CR/24-25/3302</t>
  </si>
  <si>
    <t xml:space="preserve">NASEEMA </t>
  </si>
  <si>
    <t>BR/24-25/2600</t>
  </si>
  <si>
    <t>AYISHA VENGARA</t>
  </si>
  <si>
    <t>CR/24-25/3407</t>
  </si>
  <si>
    <t>NASEEMA</t>
  </si>
  <si>
    <t>CR/24-25/3415</t>
  </si>
  <si>
    <t>CR/24-25/3416</t>
  </si>
  <si>
    <t>BR/24-25/2686</t>
  </si>
  <si>
    <t>BR/24-25/2697</t>
  </si>
  <si>
    <t>BR/24-25/2705</t>
  </si>
  <si>
    <t>BR/24-25/2747</t>
  </si>
  <si>
    <t>Sufaira Mattannur</t>
  </si>
  <si>
    <t>BR/24-25/2764</t>
  </si>
  <si>
    <t>CR/24-25/3595 TO 3597</t>
  </si>
  <si>
    <t>BR/24-25/2785</t>
  </si>
  <si>
    <t>Shajarudheen Erannikkal</t>
  </si>
  <si>
    <t>CR/24-25/3686</t>
  </si>
  <si>
    <t>Jasmin Parapathiyil</t>
  </si>
  <si>
    <t>CR/24-25/3748</t>
  </si>
  <si>
    <t>BR/24-25/2898</t>
  </si>
  <si>
    <t>Bushra Kodinhi</t>
  </si>
  <si>
    <t>BR/24-25/3002</t>
  </si>
  <si>
    <t>Kadeeja - Ambiliparamban - Kuttoor</t>
  </si>
  <si>
    <t>CR/24-25/3870</t>
  </si>
  <si>
    <t>CR/24-25/3871</t>
  </si>
  <si>
    <t>Hajara Finu</t>
  </si>
  <si>
    <t>BR/24-25/3099</t>
  </si>
  <si>
    <t>BR/24-25/3126</t>
  </si>
  <si>
    <t>Sajeela Kolakkattil Olavattur</t>
  </si>
  <si>
    <t>BR/24-25/3261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</si>
</sst>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"/>
    <numFmt numFmtId="165" formatCode="m/d/yyyy h:mm:ss"/>
  </numFmts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</font>
    <font>
      <b/>
      <sz val="9.0"/>
      <color theme="1"/>
      <name val="Arial"/>
    </font>
    <font>
      <b/>
      <sz val="7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434343"/>
      <name val="Arial"/>
      <scheme val="minor"/>
    </font>
    <font>
      <sz val="10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0" fillId="0" fontId="3" numFmtId="0" xfId="0" applyFont="1"/>
    <xf borderId="6" fillId="0" fontId="2" numFmtId="0" xfId="0" applyBorder="1" applyFont="1"/>
    <xf borderId="5" fillId="0" fontId="5" numFmtId="0" xfId="0" applyAlignment="1" applyBorder="1" applyFont="1">
      <alignment horizontal="center" shrinkToFit="0" wrapText="1"/>
    </xf>
    <xf borderId="7" fillId="0" fontId="2" numFmtId="0" xfId="0" applyBorder="1" applyFont="1"/>
    <xf borderId="5" fillId="2" fontId="1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/>
    </xf>
    <xf borderId="5" fillId="0" fontId="6" numFmtId="164" xfId="0" applyAlignment="1" applyBorder="1" applyFont="1" applyNumberFormat="1">
      <alignment horizontal="center" vertical="top"/>
    </xf>
    <xf borderId="5" fillId="0" fontId="6" numFmtId="0" xfId="0" applyAlignment="1" applyBorder="1" applyFont="1">
      <alignment horizontal="center" vertical="top"/>
    </xf>
    <xf borderId="5" fillId="2" fontId="6" numFmtId="0" xfId="0" applyAlignment="1" applyBorder="1" applyFont="1">
      <alignment horizontal="center" vertical="top"/>
    </xf>
    <xf borderId="5" fillId="2" fontId="3" numFmtId="0" xfId="0" applyAlignment="1" applyBorder="1" applyFont="1">
      <alignment vertical="top"/>
    </xf>
    <xf borderId="5" fillId="0" fontId="4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vertical="top"/>
    </xf>
    <xf borderId="5" fillId="2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left" readingOrder="0" shrinkToFit="0" vertical="center" wrapText="0"/>
    </xf>
    <xf borderId="5" fillId="0" fontId="7" numFmtId="0" xfId="0" applyAlignment="1" applyBorder="1" applyFont="1">
      <alignment horizontal="left" readingOrder="0" shrinkToFit="0" vertical="center" wrapText="0"/>
    </xf>
    <xf borderId="5" fillId="0" fontId="7" numFmtId="0" xfId="0" applyAlignment="1" applyBorder="1" applyFont="1">
      <alignment horizontal="left"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5" fillId="0" fontId="7" numFmtId="14" xfId="0" applyAlignment="1" applyBorder="1" applyFont="1" applyNumberFormat="1">
      <alignment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5" fillId="3" fontId="7" numFmtId="0" xfId="0" applyAlignment="1" applyBorder="1" applyFill="1" applyFont="1">
      <alignment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5" fillId="0" fontId="3" numFmtId="0" xfId="0" applyAlignment="1" applyBorder="1" applyFont="1">
      <alignment vertical="top"/>
    </xf>
    <xf borderId="5" fillId="0" fontId="7" numFmtId="0" xfId="0" applyAlignment="1" applyBorder="1" applyFont="1">
      <alignment readingOrder="0" shrinkToFit="0" vertical="center" wrapText="0"/>
    </xf>
    <xf borderId="5" fillId="0" fontId="3" numFmtId="164" xfId="0" applyAlignment="1" applyBorder="1" applyFont="1" applyNumberFormat="1">
      <alignment horizontal="center" vertical="top"/>
    </xf>
    <xf borderId="0" fillId="0" fontId="7" numFmtId="165" xfId="0" applyAlignment="1" applyFont="1" applyNumberFormat="1">
      <alignment readingOrder="0" shrinkToFit="0" vertical="center" wrapText="0"/>
    </xf>
    <xf borderId="5" fillId="0" fontId="7" numFmtId="14" xfId="0" applyAlignment="1" applyBorder="1" applyFont="1" applyNumberFormat="1">
      <alignment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shrinkToFit="0" vertical="center" wrapText="0"/>
    </xf>
    <xf borderId="5" fillId="4" fontId="3" numFmtId="164" xfId="0" applyAlignment="1" applyBorder="1" applyFill="1" applyFont="1" applyNumberFormat="1">
      <alignment horizontal="center" vertical="top"/>
    </xf>
    <xf borderId="5" fillId="4" fontId="3" numFmtId="0" xfId="0" applyAlignment="1" applyBorder="1" applyFont="1">
      <alignment horizontal="center" vertical="top"/>
    </xf>
    <xf borderId="5" fillId="2" fontId="3" numFmtId="0" xfId="0" applyBorder="1" applyFont="1"/>
    <xf borderId="5" fillId="2" fontId="3" numFmtId="0" xfId="0" applyAlignment="1" applyBorder="1" applyFont="1">
      <alignment horizontal="center" shrinkToFit="0" wrapText="1"/>
    </xf>
    <xf borderId="5" fillId="4" fontId="3" numFmtId="0" xfId="0" applyAlignment="1" applyBorder="1" applyFont="1">
      <alignment vertical="top"/>
    </xf>
    <xf borderId="5" fillId="4" fontId="3" numFmtId="0" xfId="0" applyAlignment="1" applyBorder="1" applyFont="1">
      <alignment horizontal="center" shrinkToFit="0" vertical="top" wrapText="1"/>
    </xf>
    <xf borderId="5" fillId="0" fontId="3" numFmtId="164" xfId="0" applyAlignment="1" applyBorder="1" applyFont="1" applyNumberFormat="1">
      <alignment vertical="top"/>
    </xf>
    <xf borderId="5" fillId="4" fontId="3" numFmtId="164" xfId="0" applyAlignment="1" applyBorder="1" applyFont="1" applyNumberFormat="1">
      <alignment vertical="top"/>
    </xf>
    <xf borderId="5" fillId="2" fontId="3" numFmtId="164" xfId="0" applyAlignment="1" applyBorder="1" applyFont="1" applyNumberFormat="1">
      <alignment vertical="top"/>
    </xf>
    <xf borderId="5" fillId="0" fontId="3" numFmtId="164" xfId="0" applyBorder="1" applyFont="1" applyNumberFormat="1"/>
    <xf borderId="5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5" fillId="0" fontId="7" numFmtId="3" xfId="0" applyAlignment="1" applyBorder="1" applyFont="1" applyNumberFormat="1">
      <alignment readingOrder="0" shrinkToFit="0" vertical="center" wrapText="0"/>
    </xf>
    <xf borderId="2" fillId="0" fontId="3" numFmtId="0" xfId="0" applyAlignment="1" applyBorder="1" applyFont="1">
      <alignment horizontal="center"/>
    </xf>
    <xf borderId="5" fillId="0" fontId="8" numFmtId="14" xfId="0" applyAlignment="1" applyBorder="1" applyFont="1" applyNumberFormat="1">
      <alignment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5" fillId="0" fontId="8" numFmtId="0" xfId="0" applyAlignment="1" applyBorder="1" applyFont="1">
      <alignment shrinkToFit="0" vertical="center" wrapText="0"/>
    </xf>
    <xf borderId="5" fillId="0" fontId="9" numFmtId="14" xfId="0" applyAlignment="1" applyBorder="1" applyFont="1" applyNumberFormat="1">
      <alignment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0" fontId="9" numFmtId="14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horizontal="right" readingOrder="0" shrinkToFit="0" vertical="bottom" wrapText="0"/>
    </xf>
    <xf borderId="5" fillId="0" fontId="9" numFmtId="0" xfId="0" applyAlignment="1" applyBorder="1" applyFont="1">
      <alignment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71" displayName="Form_Responses" name="Form_Responses" id="1">
  <autoFilter ref="$A$1:$I$1071">
    <filterColumn colId="5">
      <filters>
        <filter val="9544444114"/>
      </filters>
    </filterColumn>
  </autoFilter>
  <tableColumns count="9">
    <tableColumn name="टाइमस्टैम्प" id="1"/>
    <tableColumn name="Date" id="2"/>
    <tableColumn name="MODE" id="3"/>
    <tableColumn name="Name" id="4"/>
    <tableColumn name="C/O" id="5"/>
    <tableColumn name="Contact 1" id="6"/>
    <tableColumn name="Contact 2" id="7"/>
    <tableColumn name="Voucher no" id="8"/>
    <tableColumn name="Amount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0"/>
    <col customWidth="1" min="2" max="2" width="11.13"/>
    <col customWidth="1" min="3" max="3" width="11.63"/>
    <col customWidth="1" min="4" max="4" width="31.0"/>
    <col customWidth="1" min="5" max="5" width="23.63"/>
    <col customWidth="1" min="6" max="6" width="14.75"/>
    <col customWidth="1" min="7" max="7" width="13.5"/>
    <col customWidth="1" min="8" max="8" width="20.38"/>
    <col customWidth="1" min="9" max="9" width="11.75"/>
    <col customWidth="1" min="10" max="15" width="18.88"/>
  </cols>
  <sheetData>
    <row r="1" ht="22.5" customHeight="1">
      <c r="A1" s="23" t="s">
        <v>36</v>
      </c>
      <c r="B1" s="24" t="s">
        <v>39</v>
      </c>
      <c r="C1" s="25" t="s">
        <v>40</v>
      </c>
      <c r="D1" s="24" t="s">
        <v>41</v>
      </c>
      <c r="E1" s="25" t="s">
        <v>42</v>
      </c>
      <c r="F1" s="24" t="s">
        <v>43</v>
      </c>
      <c r="G1" s="25" t="s">
        <v>44</v>
      </c>
      <c r="H1" s="24" t="s">
        <v>45</v>
      </c>
      <c r="I1" s="24" t="s">
        <v>47</v>
      </c>
    </row>
    <row r="2" ht="22.5" hidden="1" customHeight="1">
      <c r="A2" s="26">
        <v>46214.40131987269</v>
      </c>
      <c r="B2" s="27">
        <v>45963.0</v>
      </c>
      <c r="C2" s="28" t="s">
        <v>50</v>
      </c>
      <c r="D2" s="29" t="s">
        <v>51</v>
      </c>
      <c r="E2" s="30"/>
      <c r="F2" s="29">
        <v>9.71522263798E11</v>
      </c>
      <c r="G2" s="30"/>
      <c r="H2" s="28" t="s">
        <v>52</v>
      </c>
      <c r="I2" s="28">
        <v>1500.0</v>
      </c>
    </row>
    <row r="3" ht="22.5" hidden="1" customHeight="1">
      <c r="A3" s="26">
        <v>46214.40182586806</v>
      </c>
      <c r="B3" s="27">
        <v>45964.0</v>
      </c>
      <c r="C3" s="28" t="s">
        <v>53</v>
      </c>
      <c r="D3" s="31" t="s">
        <v>54</v>
      </c>
      <c r="E3" s="30"/>
      <c r="F3" s="29">
        <v>9.995598693E9</v>
      </c>
      <c r="G3" s="30"/>
      <c r="H3" s="28" t="s">
        <v>55</v>
      </c>
      <c r="I3" s="28">
        <v>12500.0</v>
      </c>
    </row>
    <row r="4" ht="22.5" hidden="1" customHeight="1">
      <c r="A4" s="26">
        <v>46214.40228199074</v>
      </c>
      <c r="B4" s="27">
        <v>45964.0</v>
      </c>
      <c r="C4" s="28" t="s">
        <v>50</v>
      </c>
      <c r="D4" s="29" t="s">
        <v>57</v>
      </c>
      <c r="E4" s="30"/>
      <c r="F4" s="29">
        <v>8.943021829E9</v>
      </c>
      <c r="G4" s="30"/>
      <c r="H4" s="28" t="s">
        <v>58</v>
      </c>
      <c r="I4" s="28">
        <v>2000.0</v>
      </c>
    </row>
    <row r="5" ht="22.5" hidden="1" customHeight="1">
      <c r="A5" s="26">
        <v>46214.402759108794</v>
      </c>
      <c r="B5" s="27">
        <v>45965.0</v>
      </c>
      <c r="C5" s="28" t="s">
        <v>50</v>
      </c>
      <c r="D5" s="31" t="s">
        <v>59</v>
      </c>
      <c r="E5" s="30"/>
      <c r="F5" s="29">
        <v>8.606781572E9</v>
      </c>
      <c r="G5" s="30"/>
      <c r="H5" s="28" t="s">
        <v>61</v>
      </c>
      <c r="I5" s="28">
        <v>2000.0</v>
      </c>
    </row>
    <row r="6" ht="22.5" hidden="1" customHeight="1">
      <c r="A6" s="26">
        <v>46214.40340378472</v>
      </c>
      <c r="B6" s="27">
        <v>45966.0</v>
      </c>
      <c r="C6" s="28" t="s">
        <v>64</v>
      </c>
      <c r="D6" s="28" t="s">
        <v>66</v>
      </c>
      <c r="E6" s="30"/>
      <c r="F6" s="28">
        <v>9.496473993E9</v>
      </c>
      <c r="G6" s="30"/>
      <c r="H6" s="28" t="s">
        <v>67</v>
      </c>
      <c r="I6" s="28">
        <v>5000.0</v>
      </c>
    </row>
    <row r="7" ht="22.5" hidden="1" customHeight="1">
      <c r="A7" s="26">
        <v>46214.403899537036</v>
      </c>
      <c r="B7" s="27">
        <v>45966.0</v>
      </c>
      <c r="C7" s="28" t="s">
        <v>50</v>
      </c>
      <c r="D7" s="33" t="s">
        <v>68</v>
      </c>
      <c r="E7" s="30"/>
      <c r="F7" s="29">
        <v>9.847880118E9</v>
      </c>
      <c r="G7" s="30"/>
      <c r="H7" s="28" t="s">
        <v>70</v>
      </c>
      <c r="I7" s="28">
        <v>2500.0</v>
      </c>
    </row>
    <row r="8" ht="22.5" hidden="1" customHeight="1">
      <c r="A8" s="26">
        <v>46214.40484753472</v>
      </c>
      <c r="B8" s="27">
        <v>45969.0</v>
      </c>
      <c r="C8" s="28" t="s">
        <v>50</v>
      </c>
      <c r="D8" s="28" t="s">
        <v>72</v>
      </c>
      <c r="E8" s="30"/>
      <c r="F8" s="28">
        <v>9.6899775936E10</v>
      </c>
      <c r="G8" s="30"/>
      <c r="H8" s="28" t="s">
        <v>73</v>
      </c>
      <c r="I8" s="28">
        <v>25000.0</v>
      </c>
    </row>
    <row r="9" ht="22.5" hidden="1" customHeight="1">
      <c r="A9" s="26">
        <v>46214.405498611115</v>
      </c>
      <c r="B9" s="27">
        <v>45972.0</v>
      </c>
      <c r="C9" s="28" t="s">
        <v>53</v>
      </c>
      <c r="D9" s="28" t="s">
        <v>74</v>
      </c>
      <c r="E9" s="30"/>
      <c r="F9" s="28">
        <v>8.111985218E9</v>
      </c>
      <c r="G9" s="30"/>
      <c r="H9" s="28" t="s">
        <v>77</v>
      </c>
      <c r="I9" s="28">
        <v>2000.0</v>
      </c>
    </row>
    <row r="10" ht="22.5" hidden="1" customHeight="1">
      <c r="A10" s="26">
        <v>46214.406046006945</v>
      </c>
      <c r="B10" s="27">
        <v>45975.0</v>
      </c>
      <c r="C10" s="28" t="s">
        <v>50</v>
      </c>
      <c r="D10" s="28" t="s">
        <v>83</v>
      </c>
      <c r="E10" s="30"/>
      <c r="F10" s="28">
        <v>9.446163522E9</v>
      </c>
      <c r="G10" s="30"/>
      <c r="H10" s="28" t="s">
        <v>84</v>
      </c>
      <c r="I10" s="28">
        <v>30000.0</v>
      </c>
    </row>
    <row r="11" ht="22.5" hidden="1" customHeight="1">
      <c r="A11" s="26">
        <v>46214.40653931713</v>
      </c>
      <c r="B11" s="27">
        <v>45976.0</v>
      </c>
      <c r="C11" s="28" t="s">
        <v>53</v>
      </c>
      <c r="D11" s="28" t="s">
        <v>85</v>
      </c>
      <c r="E11" s="30"/>
      <c r="F11" s="28">
        <v>9.7433798583E10</v>
      </c>
      <c r="G11" s="30"/>
      <c r="H11" s="28" t="s">
        <v>88</v>
      </c>
      <c r="I11" s="28">
        <v>2500.0</v>
      </c>
    </row>
    <row r="12" ht="22.5" hidden="1" customHeight="1">
      <c r="A12" s="26">
        <v>46214.407029548616</v>
      </c>
      <c r="B12" s="27">
        <v>45976.0</v>
      </c>
      <c r="C12" s="28" t="s">
        <v>50</v>
      </c>
      <c r="D12" s="28" t="s">
        <v>89</v>
      </c>
      <c r="E12" s="30"/>
      <c r="F12" s="28">
        <v>7.356063316E9</v>
      </c>
      <c r="G12" s="30"/>
      <c r="H12" s="28" t="s">
        <v>90</v>
      </c>
      <c r="I12" s="28">
        <v>6500.0</v>
      </c>
    </row>
    <row r="13" ht="22.5" hidden="1" customHeight="1">
      <c r="A13" s="26">
        <v>46214.40748414352</v>
      </c>
      <c r="B13" s="27">
        <v>45978.0</v>
      </c>
      <c r="C13" s="28" t="s">
        <v>64</v>
      </c>
      <c r="D13" s="28" t="s">
        <v>91</v>
      </c>
      <c r="E13" s="30"/>
      <c r="F13" s="28">
        <v>7.510816306E9</v>
      </c>
      <c r="G13" s="30"/>
      <c r="H13" s="28" t="s">
        <v>94</v>
      </c>
      <c r="I13" s="28">
        <v>500.0</v>
      </c>
    </row>
    <row r="14" ht="22.5" hidden="1" customHeight="1">
      <c r="A14" s="26">
        <v>46214.40795664352</v>
      </c>
      <c r="B14" s="27">
        <v>45980.0</v>
      </c>
      <c r="C14" s="28" t="s">
        <v>53</v>
      </c>
      <c r="D14" s="28" t="s">
        <v>95</v>
      </c>
      <c r="E14" s="30"/>
      <c r="F14" s="28">
        <v>9.947462915E9</v>
      </c>
      <c r="G14" s="30"/>
      <c r="H14" s="28" t="s">
        <v>96</v>
      </c>
      <c r="I14" s="28">
        <v>15000.0</v>
      </c>
    </row>
    <row r="15" ht="22.5" hidden="1" customHeight="1">
      <c r="A15" s="35">
        <v>46214.41023113426</v>
      </c>
      <c r="B15" s="36">
        <v>45980.0</v>
      </c>
      <c r="C15" s="33" t="s">
        <v>50</v>
      </c>
      <c r="D15" s="33" t="s">
        <v>99</v>
      </c>
      <c r="E15" s="37"/>
      <c r="F15" s="33">
        <v>9.71557991057E11</v>
      </c>
      <c r="G15" s="37"/>
      <c r="H15" s="33" t="s">
        <v>100</v>
      </c>
      <c r="I15" s="33">
        <v>1250.0</v>
      </c>
    </row>
    <row r="16" ht="22.5" hidden="1" customHeight="1">
      <c r="A16" s="35">
        <v>46214.41115532407</v>
      </c>
      <c r="B16" s="36">
        <v>45982.0</v>
      </c>
      <c r="C16" s="33" t="s">
        <v>50</v>
      </c>
      <c r="D16" s="33" t="s">
        <v>101</v>
      </c>
      <c r="E16" s="37"/>
      <c r="F16" s="33">
        <v>9.447418773E9</v>
      </c>
      <c r="G16" s="33">
        <v>9.567823125E9</v>
      </c>
      <c r="H16" s="33" t="s">
        <v>102</v>
      </c>
      <c r="I16" s="33">
        <v>50000.0</v>
      </c>
    </row>
    <row r="17" ht="22.5" hidden="1" customHeight="1">
      <c r="A17" s="35">
        <v>46214.411908634254</v>
      </c>
      <c r="B17" s="36">
        <v>45983.0</v>
      </c>
      <c r="C17" s="33" t="s">
        <v>50</v>
      </c>
      <c r="D17" s="33" t="s">
        <v>104</v>
      </c>
      <c r="E17" s="37"/>
      <c r="F17" s="33">
        <v>9.71503015202E11</v>
      </c>
      <c r="G17" s="38"/>
      <c r="H17" s="33" t="s">
        <v>105</v>
      </c>
      <c r="I17" s="33">
        <v>29999.9</v>
      </c>
    </row>
    <row r="18" ht="22.5" hidden="1" customHeight="1">
      <c r="A18" s="35">
        <v>46214.42167931713</v>
      </c>
      <c r="B18" s="36">
        <v>45983.0</v>
      </c>
      <c r="C18" s="33" t="s">
        <v>50</v>
      </c>
      <c r="D18" s="33" t="s">
        <v>106</v>
      </c>
      <c r="E18" s="37"/>
      <c r="F18" s="33">
        <v>9.6655243206E11</v>
      </c>
      <c r="G18" s="33">
        <v>9.17356478701E11</v>
      </c>
      <c r="H18" s="33" t="s">
        <v>107</v>
      </c>
      <c r="I18" s="33">
        <v>16000.0</v>
      </c>
    </row>
    <row r="19" ht="22.5" hidden="1" customHeight="1">
      <c r="A19" s="35">
        <v>46214.42234496528</v>
      </c>
      <c r="B19" s="36">
        <v>45983.0</v>
      </c>
      <c r="C19" s="33" t="s">
        <v>50</v>
      </c>
      <c r="D19" s="33" t="s">
        <v>109</v>
      </c>
      <c r="E19" s="37"/>
      <c r="F19" s="33">
        <v>9.7431097094E10</v>
      </c>
      <c r="G19" s="33">
        <v>9.497319313E9</v>
      </c>
      <c r="H19" s="33" t="s">
        <v>110</v>
      </c>
      <c r="I19" s="33">
        <v>30000.0</v>
      </c>
    </row>
    <row r="20" ht="22.5" hidden="1" customHeight="1">
      <c r="A20" s="35">
        <v>46214.4275478125</v>
      </c>
      <c r="B20" s="36">
        <v>45985.0</v>
      </c>
      <c r="C20" s="33" t="s">
        <v>64</v>
      </c>
      <c r="D20" s="33" t="s">
        <v>111</v>
      </c>
      <c r="E20" s="37"/>
      <c r="F20" s="33">
        <v>6.89586342E9</v>
      </c>
      <c r="G20" s="38"/>
      <c r="H20" s="33" t="s">
        <v>112</v>
      </c>
      <c r="I20" s="33">
        <v>2000.0</v>
      </c>
    </row>
    <row r="21" ht="22.5" hidden="1" customHeight="1">
      <c r="A21" s="35">
        <v>46214.46705944445</v>
      </c>
      <c r="B21" s="36">
        <v>45987.0</v>
      </c>
      <c r="C21" s="33" t="s">
        <v>64</v>
      </c>
      <c r="D21" s="33" t="s">
        <v>115</v>
      </c>
      <c r="E21" s="37"/>
      <c r="F21" s="33" t="s">
        <v>116</v>
      </c>
      <c r="G21" s="38"/>
      <c r="H21" s="33" t="s">
        <v>117</v>
      </c>
      <c r="I21" s="33">
        <v>1000.0</v>
      </c>
    </row>
    <row r="22" ht="22.5" hidden="1" customHeight="1">
      <c r="A22" s="35">
        <v>46214.58477372685</v>
      </c>
      <c r="B22" s="36">
        <v>45987.0</v>
      </c>
      <c r="C22" s="33" t="s">
        <v>64</v>
      </c>
      <c r="D22" s="33" t="s">
        <v>118</v>
      </c>
      <c r="E22" s="37"/>
      <c r="F22" s="33">
        <v>9.19539956298E11</v>
      </c>
      <c r="G22" s="38"/>
      <c r="H22" s="33" t="s">
        <v>117</v>
      </c>
      <c r="I22" s="33">
        <v>5000.0</v>
      </c>
    </row>
    <row r="23" ht="22.5" hidden="1" customHeight="1">
      <c r="A23" s="35">
        <v>46214.58509609954</v>
      </c>
      <c r="B23" s="36">
        <v>45987.0</v>
      </c>
      <c r="C23" s="33" t="s">
        <v>64</v>
      </c>
      <c r="D23" s="33" t="s">
        <v>121</v>
      </c>
      <c r="E23" s="37"/>
      <c r="F23" s="33">
        <v>9.19387009313E11</v>
      </c>
      <c r="G23" s="38"/>
      <c r="H23" s="33" t="s">
        <v>117</v>
      </c>
      <c r="I23" s="33">
        <v>1000.0</v>
      </c>
    </row>
    <row r="24" ht="22.5" hidden="1" customHeight="1">
      <c r="A24" s="35">
        <v>46214.585554618054</v>
      </c>
      <c r="B24" s="36">
        <v>45987.0</v>
      </c>
      <c r="C24" s="33" t="s">
        <v>64</v>
      </c>
      <c r="D24" s="33" t="s">
        <v>122</v>
      </c>
      <c r="E24" s="37"/>
      <c r="F24" s="33" t="s">
        <v>123</v>
      </c>
      <c r="G24" s="38"/>
      <c r="H24" s="33" t="s">
        <v>117</v>
      </c>
      <c r="I24" s="33">
        <v>1000.0</v>
      </c>
    </row>
    <row r="25" ht="22.5" hidden="1" customHeight="1">
      <c r="A25" s="35">
        <v>46214.586086261574</v>
      </c>
      <c r="B25" s="36">
        <v>45987.0</v>
      </c>
      <c r="C25" s="33" t="s">
        <v>64</v>
      </c>
      <c r="D25" s="33" t="s">
        <v>126</v>
      </c>
      <c r="E25" s="37"/>
      <c r="F25" s="33" t="s">
        <v>127</v>
      </c>
      <c r="G25" s="38"/>
      <c r="H25" s="33" t="s">
        <v>117</v>
      </c>
      <c r="I25" s="33">
        <v>1000.0</v>
      </c>
    </row>
    <row r="26" ht="22.5" hidden="1" customHeight="1">
      <c r="A26" s="35">
        <v>46214.586770671296</v>
      </c>
      <c r="B26" s="36">
        <v>45987.0</v>
      </c>
      <c r="C26" s="33" t="s">
        <v>64</v>
      </c>
      <c r="D26" s="33" t="s">
        <v>128</v>
      </c>
      <c r="E26" s="37"/>
      <c r="F26" s="33" t="s">
        <v>130</v>
      </c>
      <c r="G26" s="38"/>
      <c r="H26" s="33" t="s">
        <v>117</v>
      </c>
      <c r="I26" s="33">
        <v>1000.0</v>
      </c>
    </row>
    <row r="27" ht="22.5" hidden="1" customHeight="1">
      <c r="A27" s="35">
        <v>46214.64343722222</v>
      </c>
      <c r="B27" s="36">
        <v>45987.0</v>
      </c>
      <c r="C27" s="33" t="s">
        <v>64</v>
      </c>
      <c r="D27" s="33" t="s">
        <v>131</v>
      </c>
      <c r="E27" s="37"/>
      <c r="F27" s="33">
        <v>8.129172228E9</v>
      </c>
      <c r="G27" s="38"/>
      <c r="H27" s="33" t="s">
        <v>117</v>
      </c>
      <c r="I27" s="33">
        <v>1000.0</v>
      </c>
    </row>
    <row r="28" ht="22.5" hidden="1" customHeight="1">
      <c r="A28" s="35">
        <v>46214.643976875</v>
      </c>
      <c r="B28" s="36">
        <v>45987.0</v>
      </c>
      <c r="C28" s="33" t="s">
        <v>64</v>
      </c>
      <c r="D28" s="33" t="s">
        <v>132</v>
      </c>
      <c r="E28" s="37"/>
      <c r="F28" s="33" t="s">
        <v>135</v>
      </c>
      <c r="G28" s="38"/>
      <c r="H28" s="33" t="s">
        <v>117</v>
      </c>
      <c r="I28" s="33">
        <v>5000.0</v>
      </c>
    </row>
    <row r="29" ht="22.5" hidden="1" customHeight="1">
      <c r="A29" s="35">
        <v>46214.64513741898</v>
      </c>
      <c r="B29" s="36">
        <v>45683.0</v>
      </c>
      <c r="C29" s="33" t="s">
        <v>64</v>
      </c>
      <c r="D29" s="33" t="s">
        <v>136</v>
      </c>
      <c r="E29" s="37"/>
      <c r="F29" s="33" t="s">
        <v>137</v>
      </c>
      <c r="G29" s="38"/>
      <c r="H29" s="33" t="s">
        <v>117</v>
      </c>
      <c r="I29" s="33">
        <v>5000.0</v>
      </c>
    </row>
    <row r="30" ht="22.5" hidden="1" customHeight="1">
      <c r="A30" s="35">
        <v>46214.6504128588</v>
      </c>
      <c r="B30" s="36">
        <v>45987.0</v>
      </c>
      <c r="C30" s="33" t="s">
        <v>64</v>
      </c>
      <c r="D30" s="33" t="s">
        <v>140</v>
      </c>
      <c r="E30" s="37"/>
      <c r="F30" s="33" t="s">
        <v>141</v>
      </c>
      <c r="G30" s="38"/>
      <c r="H30" s="33" t="s">
        <v>117</v>
      </c>
      <c r="I30" s="33">
        <v>2000.0</v>
      </c>
    </row>
    <row r="31" ht="22.5" hidden="1" customHeight="1">
      <c r="A31" s="35">
        <v>46214.65089704861</v>
      </c>
      <c r="B31" s="36">
        <v>45987.0</v>
      </c>
      <c r="C31" s="33" t="s">
        <v>64</v>
      </c>
      <c r="D31" s="33" t="s">
        <v>142</v>
      </c>
      <c r="E31" s="37"/>
      <c r="F31" s="33" t="s">
        <v>143</v>
      </c>
      <c r="G31" s="38"/>
      <c r="H31" s="33" t="s">
        <v>117</v>
      </c>
      <c r="I31" s="33">
        <v>1000.0</v>
      </c>
    </row>
    <row r="32" ht="22.5" hidden="1" customHeight="1">
      <c r="A32" s="35">
        <v>46214.6518997338</v>
      </c>
      <c r="B32" s="36">
        <v>45987.0</v>
      </c>
      <c r="C32" s="33" t="s">
        <v>64</v>
      </c>
      <c r="D32" s="33" t="s">
        <v>146</v>
      </c>
      <c r="E32" s="37"/>
      <c r="F32" s="33" t="s">
        <v>147</v>
      </c>
      <c r="G32" s="38"/>
      <c r="H32" s="33" t="s">
        <v>117</v>
      </c>
      <c r="I32" s="33">
        <v>1000.0</v>
      </c>
    </row>
    <row r="33" ht="22.5" hidden="1" customHeight="1">
      <c r="A33" s="35">
        <v>46214.65220902778</v>
      </c>
      <c r="B33" s="36">
        <v>45987.0</v>
      </c>
      <c r="C33" s="33" t="s">
        <v>64</v>
      </c>
      <c r="D33" s="33" t="s">
        <v>148</v>
      </c>
      <c r="E33" s="37"/>
      <c r="F33" s="33">
        <v>9.497505352E9</v>
      </c>
      <c r="G33" s="38"/>
      <c r="H33" s="33" t="s">
        <v>117</v>
      </c>
      <c r="I33" s="33">
        <v>500.0</v>
      </c>
    </row>
    <row r="34" ht="22.5" hidden="1" customHeight="1">
      <c r="A34" s="35">
        <v>46214.652637175925</v>
      </c>
      <c r="B34" s="36">
        <v>45987.0</v>
      </c>
      <c r="C34" s="33" t="s">
        <v>64</v>
      </c>
      <c r="D34" s="33" t="s">
        <v>152</v>
      </c>
      <c r="E34" s="37"/>
      <c r="F34" s="33">
        <v>9.400536291E9</v>
      </c>
      <c r="G34" s="38"/>
      <c r="H34" s="33" t="s">
        <v>117</v>
      </c>
      <c r="I34" s="33">
        <v>500.0</v>
      </c>
    </row>
    <row r="35" ht="22.5" hidden="1" customHeight="1">
      <c r="A35" s="35">
        <v>46214.65294373843</v>
      </c>
      <c r="B35" s="36">
        <v>45987.0</v>
      </c>
      <c r="C35" s="33" t="s">
        <v>64</v>
      </c>
      <c r="D35" s="33" t="s">
        <v>155</v>
      </c>
      <c r="E35" s="37"/>
      <c r="F35" s="38">
        <f>919048883781</f>
        <v>919048883781</v>
      </c>
      <c r="G35" s="38"/>
      <c r="H35" s="33" t="s">
        <v>117</v>
      </c>
      <c r="I35" s="33">
        <v>500.0</v>
      </c>
    </row>
    <row r="36" ht="22.5" hidden="1" customHeight="1">
      <c r="A36" s="35">
        <v>46214.65325657408</v>
      </c>
      <c r="B36" s="36">
        <v>45987.0</v>
      </c>
      <c r="C36" s="33" t="s">
        <v>64</v>
      </c>
      <c r="D36" s="33" t="s">
        <v>157</v>
      </c>
      <c r="E36" s="37"/>
      <c r="F36" s="33">
        <v>9.447487949E9</v>
      </c>
      <c r="G36" s="38"/>
      <c r="H36" s="33" t="s">
        <v>117</v>
      </c>
      <c r="I36" s="33">
        <v>500.0</v>
      </c>
    </row>
    <row r="37" ht="22.5" hidden="1" customHeight="1">
      <c r="A37" s="35">
        <v>46214.653459444446</v>
      </c>
      <c r="B37" s="36">
        <v>45987.0</v>
      </c>
      <c r="C37" s="33" t="s">
        <v>64</v>
      </c>
      <c r="D37" s="33" t="s">
        <v>159</v>
      </c>
      <c r="E37" s="37"/>
      <c r="F37" s="33" t="s">
        <v>160</v>
      </c>
      <c r="G37" s="38"/>
      <c r="H37" s="33" t="s">
        <v>117</v>
      </c>
      <c r="I37" s="33">
        <v>500.0</v>
      </c>
    </row>
    <row r="38" ht="22.5" hidden="1" customHeight="1">
      <c r="A38" s="35">
        <v>46214.65408777777</v>
      </c>
      <c r="B38" s="36">
        <v>45987.0</v>
      </c>
      <c r="C38" s="33" t="s">
        <v>64</v>
      </c>
      <c r="D38" s="33" t="s">
        <v>163</v>
      </c>
      <c r="E38" s="37"/>
      <c r="F38" s="33">
        <v>8.547971463E9</v>
      </c>
      <c r="G38" s="38"/>
      <c r="H38" s="33" t="s">
        <v>117</v>
      </c>
      <c r="I38" s="33">
        <v>500.0</v>
      </c>
    </row>
    <row r="39" ht="22.5" hidden="1" customHeight="1">
      <c r="A39" s="35">
        <v>46214.65442766204</v>
      </c>
      <c r="B39" s="36">
        <v>45987.0</v>
      </c>
      <c r="C39" s="33" t="s">
        <v>64</v>
      </c>
      <c r="D39" s="33" t="s">
        <v>164</v>
      </c>
      <c r="E39" s="37"/>
      <c r="F39" s="33" t="s">
        <v>165</v>
      </c>
      <c r="G39" s="38"/>
      <c r="H39" s="33" t="s">
        <v>117</v>
      </c>
      <c r="I39" s="33">
        <v>1500.0</v>
      </c>
    </row>
    <row r="40" ht="22.5" hidden="1" customHeight="1">
      <c r="A40" s="35">
        <v>46214.65480940972</v>
      </c>
      <c r="B40" s="36">
        <v>45987.0</v>
      </c>
      <c r="C40" s="33" t="s">
        <v>64</v>
      </c>
      <c r="D40" s="33" t="s">
        <v>168</v>
      </c>
      <c r="E40" s="37"/>
      <c r="F40" s="33">
        <v>9.495514893E9</v>
      </c>
      <c r="G40" s="38"/>
      <c r="H40" s="33" t="s">
        <v>117</v>
      </c>
      <c r="I40" s="33">
        <v>507.0</v>
      </c>
    </row>
    <row r="41" ht="22.5" hidden="1" customHeight="1">
      <c r="A41" s="35">
        <v>46214.65832474537</v>
      </c>
      <c r="B41" s="36">
        <v>45987.0</v>
      </c>
      <c r="C41" s="33" t="s">
        <v>64</v>
      </c>
      <c r="D41" s="33" t="s">
        <v>169</v>
      </c>
      <c r="E41" s="37"/>
      <c r="F41" s="33">
        <v>9.207339557E9</v>
      </c>
      <c r="G41" s="38"/>
      <c r="H41" s="33" t="s">
        <v>171</v>
      </c>
      <c r="I41" s="33">
        <v>2000.0</v>
      </c>
    </row>
    <row r="42" ht="22.5" hidden="1" customHeight="1">
      <c r="A42" s="35">
        <v>46214.65894787037</v>
      </c>
      <c r="B42" s="36">
        <v>45987.0</v>
      </c>
      <c r="C42" s="33" t="s">
        <v>64</v>
      </c>
      <c r="D42" s="33" t="s">
        <v>172</v>
      </c>
      <c r="E42" s="37"/>
      <c r="F42" s="33">
        <v>8.129269458E9</v>
      </c>
      <c r="G42" s="38"/>
      <c r="H42" s="33" t="s">
        <v>173</v>
      </c>
      <c r="I42" s="33">
        <v>2000.0</v>
      </c>
    </row>
    <row r="43" ht="22.5" hidden="1" customHeight="1">
      <c r="A43" s="35">
        <v>46214.6594389699</v>
      </c>
      <c r="B43" s="36">
        <v>45967.0</v>
      </c>
      <c r="C43" s="33" t="s">
        <v>53</v>
      </c>
      <c r="D43" s="33" t="s">
        <v>175</v>
      </c>
      <c r="E43" s="37"/>
      <c r="F43" s="33">
        <v>9.446738992E9</v>
      </c>
      <c r="G43" s="38"/>
      <c r="H43" s="33" t="s">
        <v>176</v>
      </c>
      <c r="I43" s="33">
        <v>30000.0</v>
      </c>
    </row>
    <row r="44" ht="22.5" hidden="1" customHeight="1">
      <c r="A44" s="35">
        <v>46214.65994185185</v>
      </c>
      <c r="B44" s="36">
        <v>45988.0</v>
      </c>
      <c r="C44" s="33" t="s">
        <v>50</v>
      </c>
      <c r="D44" s="33" t="s">
        <v>178</v>
      </c>
      <c r="E44" s="37"/>
      <c r="F44" s="33">
        <v>6.235536872E9</v>
      </c>
      <c r="G44" s="38"/>
      <c r="H44" s="33" t="s">
        <v>181</v>
      </c>
      <c r="I44" s="33">
        <v>2500.0</v>
      </c>
    </row>
    <row r="45" ht="22.5" hidden="1" customHeight="1">
      <c r="A45" s="35">
        <v>46214.660371273145</v>
      </c>
      <c r="B45" s="36">
        <v>45989.0</v>
      </c>
      <c r="C45" s="33" t="s">
        <v>50</v>
      </c>
      <c r="D45" s="33" t="s">
        <v>182</v>
      </c>
      <c r="E45" s="37"/>
      <c r="F45" s="33">
        <v>9.71505275385E11</v>
      </c>
      <c r="G45" s="38"/>
      <c r="H45" s="33" t="s">
        <v>184</v>
      </c>
      <c r="I45" s="33">
        <v>5000.0</v>
      </c>
    </row>
    <row r="46" ht="22.5" hidden="1" customHeight="1">
      <c r="A46" s="35">
        <v>46214.66092899306</v>
      </c>
      <c r="B46" s="36">
        <v>45991.0</v>
      </c>
      <c r="C46" s="33" t="s">
        <v>50</v>
      </c>
      <c r="D46" s="29" t="s">
        <v>57</v>
      </c>
      <c r="E46" s="37"/>
      <c r="F46" s="29">
        <v>8.943021829E9</v>
      </c>
      <c r="G46" s="38"/>
      <c r="H46" s="33" t="s">
        <v>185</v>
      </c>
      <c r="I46" s="33">
        <v>2000.0</v>
      </c>
    </row>
    <row r="47" ht="22.5" hidden="1" customHeight="1">
      <c r="A47" s="35">
        <v>46214.6709718287</v>
      </c>
      <c r="B47" s="36">
        <v>45993.0</v>
      </c>
      <c r="C47" s="33" t="s">
        <v>64</v>
      </c>
      <c r="D47" s="33" t="s">
        <v>187</v>
      </c>
      <c r="E47" s="37"/>
      <c r="F47" s="33">
        <v>9.886435575E9</v>
      </c>
      <c r="G47" s="38"/>
      <c r="H47" s="33" t="s">
        <v>188</v>
      </c>
      <c r="I47" s="33">
        <v>3000.0</v>
      </c>
    </row>
    <row r="48" ht="22.5" hidden="1" customHeight="1">
      <c r="A48" s="35">
        <v>46214.671758067125</v>
      </c>
      <c r="B48" s="36">
        <v>45993.0</v>
      </c>
      <c r="C48" s="33" t="s">
        <v>64</v>
      </c>
      <c r="D48" s="33" t="s">
        <v>189</v>
      </c>
      <c r="E48" s="37"/>
      <c r="F48" s="33">
        <v>9.886550894E9</v>
      </c>
      <c r="G48" s="38"/>
      <c r="H48" s="33" t="s">
        <v>188</v>
      </c>
      <c r="I48" s="33">
        <v>3000.0</v>
      </c>
    </row>
    <row r="49" ht="22.5" hidden="1" customHeight="1">
      <c r="A49" s="35">
        <v>46214.67363896991</v>
      </c>
      <c r="B49" s="36">
        <v>45993.0</v>
      </c>
      <c r="C49" s="33" t="s">
        <v>64</v>
      </c>
      <c r="D49" s="33" t="s">
        <v>187</v>
      </c>
      <c r="E49" s="37"/>
      <c r="F49" s="33">
        <v>9.886435575E9</v>
      </c>
      <c r="G49" s="38"/>
      <c r="H49" s="33" t="s">
        <v>188</v>
      </c>
      <c r="I49" s="33">
        <v>3000.0</v>
      </c>
    </row>
    <row r="50" ht="22.5" hidden="1" customHeight="1">
      <c r="A50" s="35">
        <v>46214.674080972225</v>
      </c>
      <c r="B50" s="36">
        <v>45993.0</v>
      </c>
      <c r="C50" s="33" t="s">
        <v>64</v>
      </c>
      <c r="D50" s="33" t="s">
        <v>189</v>
      </c>
      <c r="E50" s="37"/>
      <c r="F50" s="33">
        <v>9.886550894E9</v>
      </c>
      <c r="G50" s="38"/>
      <c r="H50" s="33" t="s">
        <v>188</v>
      </c>
      <c r="I50" s="33">
        <v>3000.0</v>
      </c>
    </row>
    <row r="51" ht="22.5" hidden="1" customHeight="1">
      <c r="A51" s="35">
        <v>46214.67469842592</v>
      </c>
      <c r="B51" s="36">
        <v>45994.0</v>
      </c>
      <c r="C51" s="33" t="s">
        <v>50</v>
      </c>
      <c r="D51" s="31" t="s">
        <v>59</v>
      </c>
      <c r="E51" s="37"/>
      <c r="F51" s="29">
        <v>8.606781572E9</v>
      </c>
      <c r="G51" s="38"/>
      <c r="H51" s="33" t="s">
        <v>193</v>
      </c>
      <c r="I51" s="33">
        <v>2000.0</v>
      </c>
    </row>
    <row r="52" ht="22.5" hidden="1" customHeight="1">
      <c r="A52" s="35">
        <v>46214.675312997686</v>
      </c>
      <c r="B52" s="36">
        <v>45994.0</v>
      </c>
      <c r="C52" s="33" t="s">
        <v>50</v>
      </c>
      <c r="D52" s="33" t="s">
        <v>194</v>
      </c>
      <c r="E52" s="37"/>
      <c r="F52" s="33" t="s">
        <v>197</v>
      </c>
      <c r="G52" s="33">
        <v>9.64504444E9</v>
      </c>
      <c r="H52" s="33" t="s">
        <v>198</v>
      </c>
      <c r="I52" s="33">
        <v>100000.0</v>
      </c>
    </row>
    <row r="53" ht="22.5" hidden="1" customHeight="1">
      <c r="A53" s="35">
        <v>46214.67612579861</v>
      </c>
      <c r="B53" s="36">
        <v>45995.0</v>
      </c>
      <c r="C53" s="33" t="s">
        <v>50</v>
      </c>
      <c r="D53" s="29" t="s">
        <v>51</v>
      </c>
      <c r="E53" s="37"/>
      <c r="F53" s="29">
        <v>9.71522263798E11</v>
      </c>
      <c r="G53" s="38"/>
      <c r="H53" s="33" t="s">
        <v>199</v>
      </c>
      <c r="I53" s="33">
        <v>1500.0</v>
      </c>
    </row>
    <row r="54" ht="22.5" hidden="1" customHeight="1">
      <c r="A54" s="35">
        <v>46214.69319464121</v>
      </c>
      <c r="B54" s="36">
        <v>45996.0</v>
      </c>
      <c r="C54" s="33" t="s">
        <v>64</v>
      </c>
      <c r="D54" s="33" t="s">
        <v>202</v>
      </c>
      <c r="E54" s="37"/>
      <c r="F54" s="33">
        <v>6.238080081E9</v>
      </c>
      <c r="G54" s="38"/>
      <c r="H54" s="33" t="s">
        <v>203</v>
      </c>
      <c r="I54" s="33">
        <v>25000.0</v>
      </c>
    </row>
    <row r="55" ht="22.5" hidden="1" customHeight="1">
      <c r="A55" s="35">
        <v>46214.69406412037</v>
      </c>
      <c r="B55" s="36">
        <v>45996.0</v>
      </c>
      <c r="C55" s="33" t="s">
        <v>53</v>
      </c>
      <c r="D55" s="31" t="s">
        <v>204</v>
      </c>
      <c r="E55" s="37"/>
      <c r="F55" s="29">
        <v>9.7430216158E10</v>
      </c>
      <c r="G55" s="38"/>
      <c r="H55" s="33" t="s">
        <v>205</v>
      </c>
      <c r="I55" s="33">
        <v>2000.0</v>
      </c>
    </row>
    <row r="56" ht="22.5" hidden="1" customHeight="1">
      <c r="A56" s="35">
        <v>46214.695496678236</v>
      </c>
      <c r="B56" s="36">
        <v>45996.0</v>
      </c>
      <c r="C56" s="33" t="s">
        <v>50</v>
      </c>
      <c r="D56" s="33" t="s">
        <v>207</v>
      </c>
      <c r="E56" s="37"/>
      <c r="F56" s="33">
        <v>8.111829108E9</v>
      </c>
      <c r="G56" s="38"/>
      <c r="H56" s="33" t="s">
        <v>209</v>
      </c>
      <c r="I56" s="33">
        <v>30000.0</v>
      </c>
    </row>
    <row r="57" ht="22.5" hidden="1" customHeight="1">
      <c r="A57" s="35">
        <v>46214.69596473379</v>
      </c>
      <c r="B57" s="36">
        <v>45998.0</v>
      </c>
      <c r="C57" s="33" t="s">
        <v>50</v>
      </c>
      <c r="D57" s="33" t="s">
        <v>210</v>
      </c>
      <c r="E57" s="37"/>
      <c r="F57" s="33">
        <v>9.71505275385E11</v>
      </c>
      <c r="G57" s="38"/>
      <c r="H57" s="33" t="s">
        <v>212</v>
      </c>
      <c r="I57" s="33">
        <v>2500.0</v>
      </c>
    </row>
    <row r="58" ht="22.5" hidden="1" customHeight="1">
      <c r="A58" s="35">
        <v>46214.6997008912</v>
      </c>
      <c r="B58" s="36">
        <v>45999.0</v>
      </c>
      <c r="C58" s="33" t="s">
        <v>50</v>
      </c>
      <c r="D58" s="33" t="s">
        <v>213</v>
      </c>
      <c r="E58" s="37"/>
      <c r="F58" s="33">
        <v>9.66507141029E11</v>
      </c>
      <c r="G58" s="38"/>
      <c r="H58" s="33" t="s">
        <v>214</v>
      </c>
      <c r="I58" s="33">
        <v>10000.0</v>
      </c>
    </row>
    <row r="59" ht="22.5" hidden="1" customHeight="1">
      <c r="A59" s="35">
        <v>46214.70047271991</v>
      </c>
      <c r="B59" s="36">
        <v>46000.0</v>
      </c>
      <c r="C59" s="33" t="s">
        <v>53</v>
      </c>
      <c r="D59" s="33" t="s">
        <v>217</v>
      </c>
      <c r="E59" s="37"/>
      <c r="F59" s="33">
        <v>8.547195675E9</v>
      </c>
      <c r="G59" s="38"/>
      <c r="H59" s="33" t="s">
        <v>218</v>
      </c>
      <c r="I59" s="33">
        <v>15000.0</v>
      </c>
    </row>
    <row r="60" ht="22.5" hidden="1" customHeight="1">
      <c r="A60" s="35">
        <v>46214.70086208334</v>
      </c>
      <c r="B60" s="36">
        <v>46000.0</v>
      </c>
      <c r="C60" s="33" t="s">
        <v>50</v>
      </c>
      <c r="D60" s="33" t="s">
        <v>219</v>
      </c>
      <c r="E60" s="37"/>
      <c r="F60" s="33">
        <v>9.66502960797E11</v>
      </c>
      <c r="G60" s="38"/>
      <c r="H60" s="33" t="s">
        <v>223</v>
      </c>
      <c r="I60" s="33">
        <v>15000.0</v>
      </c>
    </row>
    <row r="61" ht="22.5" hidden="1" customHeight="1">
      <c r="A61" s="35">
        <v>46214.70125085648</v>
      </c>
      <c r="B61" s="36">
        <v>46000.0</v>
      </c>
      <c r="C61" s="33" t="s">
        <v>50</v>
      </c>
      <c r="D61" s="33" t="s">
        <v>225</v>
      </c>
      <c r="E61" s="37"/>
      <c r="F61" s="33">
        <v>9.71504982495E11</v>
      </c>
      <c r="G61" s="38"/>
      <c r="H61" s="33" t="s">
        <v>226</v>
      </c>
      <c r="I61" s="33">
        <v>30000.0</v>
      </c>
    </row>
    <row r="62" ht="22.5" hidden="1" customHeight="1">
      <c r="A62" s="35">
        <v>46214.70178657408</v>
      </c>
      <c r="B62" s="36">
        <v>46001.0</v>
      </c>
      <c r="C62" s="33" t="s">
        <v>50</v>
      </c>
      <c r="D62" s="33" t="s">
        <v>68</v>
      </c>
      <c r="E62" s="37"/>
      <c r="F62" s="29">
        <v>9.847880118E9</v>
      </c>
      <c r="G62" s="38"/>
      <c r="H62" s="33" t="s">
        <v>230</v>
      </c>
      <c r="I62" s="33">
        <v>6500.0</v>
      </c>
    </row>
    <row r="63" ht="22.5" hidden="1" customHeight="1">
      <c r="A63" s="35">
        <v>46214.70217870371</v>
      </c>
      <c r="B63" s="36">
        <v>46001.0</v>
      </c>
      <c r="C63" s="33" t="s">
        <v>50</v>
      </c>
      <c r="D63" s="33" t="s">
        <v>231</v>
      </c>
      <c r="E63" s="37"/>
      <c r="F63" s="33">
        <v>9.742064287E9</v>
      </c>
      <c r="G63" s="38"/>
      <c r="H63" s="33" t="s">
        <v>232</v>
      </c>
      <c r="I63" s="33">
        <v>30000.0</v>
      </c>
    </row>
    <row r="64" ht="22.5" hidden="1" customHeight="1">
      <c r="A64" s="35">
        <v>46214.70254741899</v>
      </c>
      <c r="B64" s="36">
        <v>46001.0</v>
      </c>
      <c r="C64" s="33" t="s">
        <v>53</v>
      </c>
      <c r="D64" s="33" t="s">
        <v>236</v>
      </c>
      <c r="E64" s="37"/>
      <c r="F64" s="33">
        <v>8.111985218E9</v>
      </c>
      <c r="G64" s="38"/>
      <c r="H64" s="33" t="s">
        <v>237</v>
      </c>
      <c r="I64" s="33">
        <v>2000.0</v>
      </c>
    </row>
    <row r="65" ht="22.5" hidden="1" customHeight="1">
      <c r="A65" s="35">
        <v>46214.70295880787</v>
      </c>
      <c r="B65" s="36">
        <v>46002.0</v>
      </c>
      <c r="C65" s="33" t="s">
        <v>53</v>
      </c>
      <c r="D65" s="33" t="s">
        <v>238</v>
      </c>
      <c r="E65" s="37"/>
      <c r="F65" s="33">
        <v>9.495920363E9</v>
      </c>
      <c r="G65" s="38"/>
      <c r="H65" s="33" t="s">
        <v>239</v>
      </c>
      <c r="I65" s="33">
        <v>2000.0</v>
      </c>
    </row>
    <row r="66" ht="22.5" hidden="1" customHeight="1">
      <c r="A66" s="35">
        <v>46214.70354509259</v>
      </c>
      <c r="B66" s="36">
        <v>46005.0</v>
      </c>
      <c r="C66" s="33" t="s">
        <v>64</v>
      </c>
      <c r="D66" s="33" t="s">
        <v>242</v>
      </c>
      <c r="E66" s="37"/>
      <c r="F66" s="33">
        <v>9.446244738E9</v>
      </c>
      <c r="G66" s="38"/>
      <c r="H66" s="33" t="s">
        <v>243</v>
      </c>
      <c r="I66" s="33">
        <v>10000.0</v>
      </c>
    </row>
    <row r="67" ht="22.5" hidden="1" customHeight="1">
      <c r="A67" s="35">
        <v>46214.70403678241</v>
      </c>
      <c r="B67" s="36">
        <v>46005.0</v>
      </c>
      <c r="C67" s="33" t="s">
        <v>53</v>
      </c>
      <c r="D67" s="33" t="s">
        <v>244</v>
      </c>
      <c r="E67" s="37"/>
      <c r="F67" s="33">
        <v>9.7433798583E10</v>
      </c>
      <c r="G67" s="38"/>
      <c r="H67" s="33" t="s">
        <v>247</v>
      </c>
      <c r="I67" s="33">
        <v>2500.0</v>
      </c>
    </row>
    <row r="68" ht="22.5" hidden="1" customHeight="1">
      <c r="A68" s="35">
        <v>46214.70455355324</v>
      </c>
      <c r="B68" s="36">
        <v>46006.0</v>
      </c>
      <c r="C68" s="33" t="s">
        <v>248</v>
      </c>
      <c r="D68" s="33" t="s">
        <v>249</v>
      </c>
      <c r="E68" s="37"/>
      <c r="F68" s="33">
        <v>9.846846806E9</v>
      </c>
      <c r="G68" s="38"/>
      <c r="H68" s="33" t="s">
        <v>250</v>
      </c>
      <c r="I68" s="33">
        <v>5000.0</v>
      </c>
    </row>
    <row r="69" ht="22.5" hidden="1" customHeight="1">
      <c r="A69" s="35">
        <v>46214.70499034722</v>
      </c>
      <c r="B69" s="36">
        <v>46007.0</v>
      </c>
      <c r="C69" s="33" t="s">
        <v>50</v>
      </c>
      <c r="D69" s="33" t="s">
        <v>253</v>
      </c>
      <c r="E69" s="37"/>
      <c r="F69" s="33">
        <v>9.446775865E9</v>
      </c>
      <c r="G69" s="38"/>
      <c r="H69" s="33" t="s">
        <v>254</v>
      </c>
      <c r="I69" s="33">
        <v>20000.0</v>
      </c>
    </row>
    <row r="70" ht="22.5" hidden="1" customHeight="1">
      <c r="A70" s="35">
        <v>46214.70661325232</v>
      </c>
      <c r="B70" s="36">
        <v>46007.0</v>
      </c>
      <c r="C70" s="33" t="s">
        <v>50</v>
      </c>
      <c r="D70" s="33" t="s">
        <v>255</v>
      </c>
      <c r="E70" s="37"/>
      <c r="F70" s="33">
        <v>9.71506976544E11</v>
      </c>
      <c r="G70" s="38"/>
      <c r="H70" s="33" t="s">
        <v>256</v>
      </c>
      <c r="I70" s="33">
        <v>150000.0</v>
      </c>
    </row>
    <row r="71" ht="22.5" hidden="1" customHeight="1">
      <c r="A71" s="35">
        <v>46214.707198749995</v>
      </c>
      <c r="B71" s="36">
        <v>46010.0</v>
      </c>
      <c r="C71" s="33" t="s">
        <v>53</v>
      </c>
      <c r="D71" s="33" t="s">
        <v>257</v>
      </c>
      <c r="E71" s="37"/>
      <c r="F71" s="33">
        <v>9.745759562E9</v>
      </c>
      <c r="G71" s="38"/>
      <c r="H71" s="33" t="s">
        <v>258</v>
      </c>
      <c r="I71" s="33">
        <v>7500.0</v>
      </c>
    </row>
    <row r="72" ht="22.5" hidden="1" customHeight="1">
      <c r="A72" s="35">
        <v>46214.70764956019</v>
      </c>
      <c r="B72" s="36">
        <v>46010.0</v>
      </c>
      <c r="C72" s="33" t="s">
        <v>50</v>
      </c>
      <c r="D72" s="33" t="s">
        <v>259</v>
      </c>
      <c r="E72" s="37"/>
      <c r="F72" s="33">
        <v>9.71544114977E11</v>
      </c>
      <c r="G72" s="38"/>
      <c r="H72" s="33" t="s">
        <v>260</v>
      </c>
      <c r="I72" s="33">
        <v>1250.0</v>
      </c>
    </row>
    <row r="73" ht="22.5" hidden="1" customHeight="1">
      <c r="A73" s="35">
        <v>46214.70807609954</v>
      </c>
      <c r="B73" s="36">
        <v>46013.0</v>
      </c>
      <c r="C73" s="33" t="s">
        <v>50</v>
      </c>
      <c r="D73" s="33" t="s">
        <v>261</v>
      </c>
      <c r="E73" s="37"/>
      <c r="F73" s="33">
        <v>9.94698398E8</v>
      </c>
      <c r="G73" s="38"/>
      <c r="H73" s="33" t="s">
        <v>262</v>
      </c>
      <c r="I73" s="33">
        <v>3000.0</v>
      </c>
    </row>
    <row r="74" ht="22.5" hidden="1" customHeight="1">
      <c r="A74" s="35">
        <v>46214.70852111111</v>
      </c>
      <c r="B74" s="36">
        <v>46014.0</v>
      </c>
      <c r="C74" s="33" t="s">
        <v>50</v>
      </c>
      <c r="D74" s="33" t="s">
        <v>178</v>
      </c>
      <c r="E74" s="37"/>
      <c r="F74" s="33">
        <v>6.235536872E9</v>
      </c>
      <c r="G74" s="38"/>
      <c r="H74" s="33" t="s">
        <v>263</v>
      </c>
      <c r="I74" s="33">
        <v>2700.0</v>
      </c>
    </row>
    <row r="75" ht="22.5" hidden="1" customHeight="1">
      <c r="A75" s="35">
        <v>46214.708980787036</v>
      </c>
      <c r="B75" s="36">
        <v>46014.0</v>
      </c>
      <c r="C75" s="33" t="s">
        <v>50</v>
      </c>
      <c r="D75" s="33" t="s">
        <v>264</v>
      </c>
      <c r="E75" s="37"/>
      <c r="F75" s="33">
        <v>9.99537278E9</v>
      </c>
      <c r="G75" s="38"/>
      <c r="H75" s="33" t="s">
        <v>265</v>
      </c>
      <c r="I75" s="33">
        <v>30000.0</v>
      </c>
    </row>
    <row r="76" ht="22.5" hidden="1" customHeight="1">
      <c r="A76" s="35">
        <v>46214.709366863426</v>
      </c>
      <c r="B76" s="36">
        <v>46015.0</v>
      </c>
      <c r="C76" s="33" t="s">
        <v>64</v>
      </c>
      <c r="D76" s="33" t="s">
        <v>266</v>
      </c>
      <c r="E76" s="37"/>
      <c r="F76" s="33">
        <v>9.745724503E9</v>
      </c>
      <c r="G76" s="38"/>
      <c r="H76" s="33" t="s">
        <v>267</v>
      </c>
      <c r="I76" s="33">
        <v>5000.0</v>
      </c>
    </row>
    <row r="77" ht="22.5" hidden="1" customHeight="1">
      <c r="A77" s="35">
        <v>46214.71030554398</v>
      </c>
      <c r="B77" s="36">
        <v>46015.0</v>
      </c>
      <c r="C77" s="33" t="s">
        <v>64</v>
      </c>
      <c r="D77" s="33" t="s">
        <v>268</v>
      </c>
      <c r="E77" s="37"/>
      <c r="F77" s="33">
        <v>9.645296225E9</v>
      </c>
      <c r="G77" s="38"/>
      <c r="H77" s="33" t="s">
        <v>269</v>
      </c>
      <c r="I77" s="33">
        <v>30000.0</v>
      </c>
    </row>
    <row r="78" ht="22.5" hidden="1" customHeight="1">
      <c r="A78" s="35">
        <v>46214.711443692126</v>
      </c>
      <c r="B78" s="36">
        <v>46015.0</v>
      </c>
      <c r="C78" s="33" t="s">
        <v>50</v>
      </c>
      <c r="D78" s="33" t="s">
        <v>270</v>
      </c>
      <c r="E78" s="37"/>
      <c r="F78" s="33">
        <v>4.47778067103E11</v>
      </c>
      <c r="G78" s="38"/>
      <c r="H78" s="33" t="s">
        <v>271</v>
      </c>
      <c r="I78" s="33">
        <v>3000.0</v>
      </c>
    </row>
    <row r="79" ht="22.5" hidden="1" customHeight="1">
      <c r="A79" s="35">
        <v>46214.712027835645</v>
      </c>
      <c r="B79" s="36">
        <v>46015.0</v>
      </c>
      <c r="C79" s="33" t="s">
        <v>50</v>
      </c>
      <c r="D79" s="33" t="s">
        <v>272</v>
      </c>
      <c r="E79" s="37"/>
      <c r="F79" s="33">
        <v>4.47778067103E11</v>
      </c>
      <c r="G79" s="38"/>
      <c r="H79" s="33" t="s">
        <v>273</v>
      </c>
      <c r="I79" s="33">
        <v>1000.0</v>
      </c>
    </row>
    <row r="80" ht="22.5" hidden="1" customHeight="1">
      <c r="A80" s="35">
        <v>46214.71253163194</v>
      </c>
      <c r="B80" s="36">
        <v>46017.0</v>
      </c>
      <c r="C80" s="33" t="s">
        <v>50</v>
      </c>
      <c r="D80" s="33" t="s">
        <v>274</v>
      </c>
      <c r="E80" s="37"/>
      <c r="F80" s="33">
        <v>9.946745547E9</v>
      </c>
      <c r="G80" s="38"/>
      <c r="H80" s="33" t="s">
        <v>275</v>
      </c>
      <c r="I80" s="33">
        <v>5000.0</v>
      </c>
    </row>
    <row r="81" ht="22.5" hidden="1" customHeight="1">
      <c r="A81" s="35">
        <v>46214.712967534724</v>
      </c>
      <c r="B81" s="36">
        <v>46020.0</v>
      </c>
      <c r="C81" s="33" t="s">
        <v>53</v>
      </c>
      <c r="D81" s="33" t="s">
        <v>276</v>
      </c>
      <c r="E81" s="33" t="s">
        <v>277</v>
      </c>
      <c r="F81" s="33">
        <v>7.902473363E9</v>
      </c>
      <c r="G81" s="38"/>
      <c r="H81" s="33" t="s">
        <v>278</v>
      </c>
      <c r="I81" s="33">
        <v>500.0</v>
      </c>
    </row>
    <row r="82" ht="22.5" hidden="1" customHeight="1">
      <c r="A82" s="35">
        <v>46214.71380033565</v>
      </c>
      <c r="B82" s="36">
        <v>46020.0</v>
      </c>
      <c r="C82" s="33" t="s">
        <v>50</v>
      </c>
      <c r="D82" s="33" t="s">
        <v>279</v>
      </c>
      <c r="E82" s="37"/>
      <c r="F82" s="33">
        <v>9.66501248306E11</v>
      </c>
      <c r="G82" s="38"/>
      <c r="H82" s="33" t="s">
        <v>280</v>
      </c>
      <c r="I82" s="33">
        <v>10000.0</v>
      </c>
    </row>
    <row r="83" ht="22.5" hidden="1" customHeight="1">
      <c r="A83" s="35">
        <v>46214.71426042824</v>
      </c>
      <c r="B83" s="36">
        <v>46021.0</v>
      </c>
      <c r="C83" s="33" t="s">
        <v>50</v>
      </c>
      <c r="D83" s="33" t="s">
        <v>281</v>
      </c>
      <c r="E83" s="33" t="s">
        <v>277</v>
      </c>
      <c r="F83" s="33">
        <v>9.747374352E9</v>
      </c>
      <c r="G83" s="38"/>
      <c r="H83" s="33" t="s">
        <v>282</v>
      </c>
      <c r="I83" s="33">
        <v>1000.0</v>
      </c>
    </row>
    <row r="84" ht="22.5" hidden="1" customHeight="1">
      <c r="A84" s="35">
        <v>46214.714881712964</v>
      </c>
      <c r="B84" s="36">
        <v>46021.0</v>
      </c>
      <c r="C84" s="33" t="s">
        <v>53</v>
      </c>
      <c r="D84" s="33" t="s">
        <v>283</v>
      </c>
      <c r="E84" s="33" t="s">
        <v>277</v>
      </c>
      <c r="F84" s="33">
        <v>9.495457819E9</v>
      </c>
      <c r="G84" s="38"/>
      <c r="H84" s="33" t="s">
        <v>284</v>
      </c>
      <c r="I84" s="33">
        <v>500.0</v>
      </c>
    </row>
    <row r="85" ht="22.5" hidden="1" customHeight="1">
      <c r="A85" s="35">
        <v>46214.71594836806</v>
      </c>
      <c r="B85" s="36">
        <v>46022.0</v>
      </c>
      <c r="C85" s="33" t="s">
        <v>50</v>
      </c>
      <c r="D85" s="33" t="s">
        <v>285</v>
      </c>
      <c r="E85" s="33" t="s">
        <v>277</v>
      </c>
      <c r="F85" s="33">
        <v>9.6452243147E10</v>
      </c>
      <c r="G85" s="38"/>
      <c r="H85" s="33" t="s">
        <v>286</v>
      </c>
      <c r="I85" s="33">
        <v>2000.0</v>
      </c>
    </row>
    <row r="86" ht="22.5" hidden="1" customHeight="1">
      <c r="A86" s="35">
        <v>46214.71644532407</v>
      </c>
      <c r="B86" s="36">
        <v>46022.0</v>
      </c>
      <c r="C86" s="33" t="s">
        <v>50</v>
      </c>
      <c r="D86" s="33" t="s">
        <v>287</v>
      </c>
      <c r="E86" s="37"/>
      <c r="F86" s="33">
        <v>9.71559578165E11</v>
      </c>
      <c r="G86" s="38"/>
      <c r="H86" s="33" t="s">
        <v>288</v>
      </c>
      <c r="I86" s="33">
        <v>2500.0</v>
      </c>
    </row>
    <row r="87" ht="22.5" hidden="1" customHeight="1">
      <c r="A87" s="35">
        <v>46214.72426628473</v>
      </c>
      <c r="B87" s="36">
        <v>46023.0</v>
      </c>
      <c r="C87" s="33" t="s">
        <v>53</v>
      </c>
      <c r="D87" s="31" t="s">
        <v>204</v>
      </c>
      <c r="E87" s="37"/>
      <c r="F87" s="29">
        <v>9.7430216158E10</v>
      </c>
      <c r="G87" s="38"/>
      <c r="H87" s="33" t="s">
        <v>289</v>
      </c>
      <c r="I87" s="33">
        <v>2000.0</v>
      </c>
    </row>
    <row r="88" ht="22.5" hidden="1" customHeight="1">
      <c r="A88" s="35">
        <v>46214.72487506944</v>
      </c>
      <c r="B88" s="36">
        <v>46023.0</v>
      </c>
      <c r="C88" s="33" t="s">
        <v>53</v>
      </c>
      <c r="D88" s="31" t="s">
        <v>54</v>
      </c>
      <c r="E88" s="33" t="s">
        <v>277</v>
      </c>
      <c r="F88" s="29">
        <v>9.995598693E9</v>
      </c>
      <c r="G88" s="38"/>
      <c r="H88" s="33" t="s">
        <v>290</v>
      </c>
      <c r="I88" s="33">
        <v>12500.0</v>
      </c>
    </row>
    <row r="89" ht="22.5" hidden="1" customHeight="1">
      <c r="A89" s="35">
        <v>46214.725586307875</v>
      </c>
      <c r="B89" s="36">
        <v>46023.0</v>
      </c>
      <c r="C89" s="33" t="s">
        <v>50</v>
      </c>
      <c r="D89" s="33" t="s">
        <v>291</v>
      </c>
      <c r="E89" s="37"/>
      <c r="F89" s="33">
        <v>9.6650362413E11</v>
      </c>
      <c r="G89" s="38"/>
      <c r="H89" s="33" t="s">
        <v>292</v>
      </c>
      <c r="I89" s="33">
        <v>16000.0</v>
      </c>
    </row>
    <row r="90" ht="22.5" hidden="1" customHeight="1">
      <c r="A90" s="35">
        <v>46214.72595099537</v>
      </c>
      <c r="B90" s="36">
        <v>46024.0</v>
      </c>
      <c r="C90" s="33" t="s">
        <v>50</v>
      </c>
      <c r="D90" s="33" t="s">
        <v>68</v>
      </c>
      <c r="E90" s="37"/>
      <c r="F90" s="29">
        <v>9.847880118E9</v>
      </c>
      <c r="G90" s="38"/>
      <c r="H90" s="33" t="s">
        <v>293</v>
      </c>
      <c r="I90" s="33">
        <v>2500.0</v>
      </c>
    </row>
    <row r="91" ht="22.5" hidden="1" customHeight="1">
      <c r="A91" s="35">
        <v>46214.73297416666</v>
      </c>
      <c r="B91" s="36">
        <v>46025.0</v>
      </c>
      <c r="C91" s="33" t="s">
        <v>50</v>
      </c>
      <c r="D91" s="31" t="s">
        <v>59</v>
      </c>
      <c r="E91" s="38"/>
      <c r="F91" s="29">
        <v>8.606781572E9</v>
      </c>
      <c r="G91" s="38"/>
      <c r="H91" s="33" t="s">
        <v>294</v>
      </c>
      <c r="I91" s="33">
        <v>2000.0</v>
      </c>
    </row>
    <row r="92" ht="22.5" hidden="1" customHeight="1">
      <c r="A92" s="35">
        <v>46214.73398828704</v>
      </c>
      <c r="B92" s="36">
        <v>46025.0</v>
      </c>
      <c r="C92" s="33" t="s">
        <v>50</v>
      </c>
      <c r="D92" s="29" t="s">
        <v>51</v>
      </c>
      <c r="E92" s="38"/>
      <c r="F92" s="29">
        <v>9.71522263798E11</v>
      </c>
      <c r="G92" s="38"/>
      <c r="H92" s="33" t="s">
        <v>295</v>
      </c>
      <c r="I92" s="33">
        <v>1500.0</v>
      </c>
    </row>
    <row r="93" ht="22.5" hidden="1" customHeight="1">
      <c r="A93" s="35">
        <v>46214.73723425926</v>
      </c>
      <c r="B93" s="36">
        <v>46026.0</v>
      </c>
      <c r="C93" s="33" t="s">
        <v>50</v>
      </c>
      <c r="D93" s="33" t="s">
        <v>68</v>
      </c>
      <c r="E93" s="38"/>
      <c r="F93" s="29">
        <v>9.847880118E9</v>
      </c>
      <c r="G93" s="38"/>
      <c r="H93" s="33" t="s">
        <v>296</v>
      </c>
      <c r="I93" s="33">
        <v>2000.0</v>
      </c>
    </row>
    <row r="94" ht="22.5" hidden="1" customHeight="1">
      <c r="A94" s="35">
        <v>46214.737676122684</v>
      </c>
      <c r="B94" s="36">
        <v>46026.0</v>
      </c>
      <c r="C94" s="33" t="s">
        <v>50</v>
      </c>
      <c r="D94" s="33" t="s">
        <v>297</v>
      </c>
      <c r="E94" s="38"/>
      <c r="F94" s="33">
        <v>9.71505275385E11</v>
      </c>
      <c r="G94" s="38"/>
      <c r="H94" s="33" t="s">
        <v>298</v>
      </c>
      <c r="I94" s="33">
        <v>2500.0</v>
      </c>
    </row>
    <row r="95" ht="22.5" hidden="1" customHeight="1">
      <c r="A95" s="35">
        <v>46214.738643055556</v>
      </c>
      <c r="B95" s="36">
        <v>46028.0</v>
      </c>
      <c r="C95" s="33" t="s">
        <v>50</v>
      </c>
      <c r="D95" s="33" t="s">
        <v>299</v>
      </c>
      <c r="E95" s="38"/>
      <c r="F95" s="33">
        <v>9.946745547E9</v>
      </c>
      <c r="G95" s="38"/>
      <c r="H95" s="33" t="s">
        <v>300</v>
      </c>
      <c r="I95" s="33">
        <v>2500.0</v>
      </c>
    </row>
    <row r="96" ht="22.5" hidden="1" customHeight="1">
      <c r="A96" s="35">
        <v>46214.75976015047</v>
      </c>
      <c r="B96" s="36">
        <v>46029.0</v>
      </c>
      <c r="C96" s="33" t="s">
        <v>64</v>
      </c>
      <c r="D96" s="33" t="s">
        <v>189</v>
      </c>
      <c r="E96" s="33" t="s">
        <v>301</v>
      </c>
      <c r="F96" s="33">
        <v>9.886550894E9</v>
      </c>
      <c r="G96" s="38"/>
      <c r="H96" s="33" t="s">
        <v>302</v>
      </c>
      <c r="I96" s="33">
        <v>3000.0</v>
      </c>
    </row>
    <row r="97" ht="22.5" hidden="1" customHeight="1">
      <c r="A97" s="35">
        <v>46214.760410636576</v>
      </c>
      <c r="B97" s="36">
        <v>46029.0</v>
      </c>
      <c r="C97" s="33" t="s">
        <v>64</v>
      </c>
      <c r="D97" s="33" t="s">
        <v>187</v>
      </c>
      <c r="E97" s="33" t="s">
        <v>301</v>
      </c>
      <c r="F97" s="33">
        <v>9.886435575E9</v>
      </c>
      <c r="G97" s="38"/>
      <c r="H97" s="33" t="s">
        <v>302</v>
      </c>
      <c r="I97" s="33">
        <v>3000.0</v>
      </c>
    </row>
    <row r="98" ht="22.5" hidden="1" customHeight="1">
      <c r="A98" s="35">
        <v>46214.76189922454</v>
      </c>
      <c r="B98" s="36">
        <v>46029.0</v>
      </c>
      <c r="C98" s="33" t="s">
        <v>64</v>
      </c>
      <c r="D98" s="33" t="s">
        <v>303</v>
      </c>
      <c r="E98" s="33" t="s">
        <v>301</v>
      </c>
      <c r="F98" s="33">
        <v>9.880333214E9</v>
      </c>
      <c r="G98" s="38"/>
      <c r="H98" s="33" t="s">
        <v>304</v>
      </c>
      <c r="I98" s="33">
        <v>9000.0</v>
      </c>
    </row>
    <row r="99" ht="22.5" hidden="1" customHeight="1">
      <c r="A99" s="35">
        <v>46214.762639872686</v>
      </c>
      <c r="B99" s="36">
        <v>46031.0</v>
      </c>
      <c r="C99" s="33" t="s">
        <v>53</v>
      </c>
      <c r="D99" s="33" t="s">
        <v>305</v>
      </c>
      <c r="E99" s="33" t="s">
        <v>277</v>
      </c>
      <c r="F99" s="33">
        <v>9.539581431E9</v>
      </c>
      <c r="G99" s="38"/>
      <c r="H99" s="33" t="s">
        <v>306</v>
      </c>
      <c r="I99" s="33">
        <v>500.0</v>
      </c>
    </row>
    <row r="100" ht="22.5" hidden="1" customHeight="1">
      <c r="A100" s="35">
        <v>46214.7638303125</v>
      </c>
      <c r="B100" s="36">
        <v>46032.0</v>
      </c>
      <c r="C100" s="33" t="s">
        <v>53</v>
      </c>
      <c r="D100" s="33" t="s">
        <v>307</v>
      </c>
      <c r="E100" s="38"/>
      <c r="F100" s="33">
        <v>9.71528588595E11</v>
      </c>
      <c r="G100" s="38"/>
      <c r="H100" s="33" t="s">
        <v>308</v>
      </c>
      <c r="I100" s="33">
        <v>5000.0</v>
      </c>
    </row>
    <row r="101" ht="22.5" hidden="1" customHeight="1">
      <c r="A101" s="35">
        <v>46214.764689421296</v>
      </c>
      <c r="B101" s="36">
        <v>46032.0</v>
      </c>
      <c r="C101" s="33" t="s">
        <v>53</v>
      </c>
      <c r="D101" s="33" t="s">
        <v>309</v>
      </c>
      <c r="E101" s="33" t="s">
        <v>277</v>
      </c>
      <c r="F101" s="33">
        <v>9.745759562E9</v>
      </c>
      <c r="G101" s="38"/>
      <c r="H101" s="33" t="s">
        <v>310</v>
      </c>
      <c r="I101" s="33">
        <v>3500.0</v>
      </c>
    </row>
    <row r="102" ht="22.5" hidden="1" customHeight="1">
      <c r="A102" s="35">
        <v>46214.765419247684</v>
      </c>
      <c r="B102" s="36">
        <v>46032.0</v>
      </c>
      <c r="C102" s="33" t="s">
        <v>50</v>
      </c>
      <c r="D102" s="33" t="s">
        <v>311</v>
      </c>
      <c r="E102" s="38"/>
      <c r="F102" s="33">
        <v>8.547775577E9</v>
      </c>
      <c r="G102" s="38"/>
      <c r="H102" s="33" t="s">
        <v>312</v>
      </c>
      <c r="I102" s="33">
        <v>10000.0</v>
      </c>
    </row>
    <row r="103" ht="22.5" hidden="1" customHeight="1">
      <c r="A103" s="35">
        <v>46214.766348715275</v>
      </c>
      <c r="B103" s="36">
        <v>46033.0</v>
      </c>
      <c r="C103" s="33" t="s">
        <v>53</v>
      </c>
      <c r="D103" s="33" t="s">
        <v>313</v>
      </c>
      <c r="E103" s="38"/>
      <c r="F103" s="33">
        <v>9.7155875313E10</v>
      </c>
      <c r="G103" s="38"/>
      <c r="H103" s="33" t="s">
        <v>314</v>
      </c>
      <c r="I103" s="33">
        <v>5000.0</v>
      </c>
    </row>
    <row r="104" ht="22.5" hidden="1" customHeight="1">
      <c r="A104" s="35">
        <v>46214.76686496528</v>
      </c>
      <c r="B104" s="36">
        <v>46033.0</v>
      </c>
      <c r="C104" s="33" t="s">
        <v>53</v>
      </c>
      <c r="D104" s="33" t="s">
        <v>315</v>
      </c>
      <c r="E104" s="38"/>
      <c r="F104" s="33">
        <v>8.1111985218E10</v>
      </c>
      <c r="G104" s="38"/>
      <c r="H104" s="33" t="s">
        <v>316</v>
      </c>
      <c r="I104" s="33">
        <v>2000.0</v>
      </c>
    </row>
    <row r="105" ht="22.5" hidden="1" customHeight="1">
      <c r="A105" s="35">
        <v>46215.3464609375</v>
      </c>
      <c r="B105" s="36">
        <v>46033.0</v>
      </c>
      <c r="C105" s="33" t="s">
        <v>64</v>
      </c>
      <c r="D105" s="33" t="s">
        <v>317</v>
      </c>
      <c r="E105" s="38"/>
      <c r="F105" s="33">
        <v>9.048498586E9</v>
      </c>
      <c r="G105" s="38"/>
      <c r="H105" s="33" t="s">
        <v>318</v>
      </c>
      <c r="I105" s="33">
        <v>15000.0</v>
      </c>
    </row>
    <row r="106" ht="22.5" hidden="1" customHeight="1">
      <c r="A106" s="35">
        <v>46215.346972280095</v>
      </c>
      <c r="B106" s="36">
        <v>46034.0</v>
      </c>
      <c r="C106" s="33" t="s">
        <v>53</v>
      </c>
      <c r="D106" s="33" t="s">
        <v>319</v>
      </c>
      <c r="E106" s="38"/>
      <c r="F106" s="33">
        <v>9.946072728E9</v>
      </c>
      <c r="G106" s="38"/>
      <c r="H106" s="33" t="s">
        <v>320</v>
      </c>
      <c r="I106" s="33">
        <v>15000.0</v>
      </c>
    </row>
    <row r="107" ht="22.5" hidden="1" customHeight="1">
      <c r="A107" s="35">
        <v>46215.3476097338</v>
      </c>
      <c r="B107" s="36">
        <v>46034.0</v>
      </c>
      <c r="C107" s="33" t="s">
        <v>53</v>
      </c>
      <c r="D107" s="33" t="s">
        <v>321</v>
      </c>
      <c r="E107" s="33" t="s">
        <v>277</v>
      </c>
      <c r="F107" s="33">
        <v>9.745759562E9</v>
      </c>
      <c r="G107" s="38"/>
      <c r="H107" s="33" t="s">
        <v>322</v>
      </c>
      <c r="I107" s="33">
        <v>1000.0</v>
      </c>
    </row>
    <row r="108" ht="22.5" hidden="1" customHeight="1">
      <c r="A108" s="35">
        <v>46215.34829435185</v>
      </c>
      <c r="B108" s="36">
        <v>46035.0</v>
      </c>
      <c r="C108" s="33" t="s">
        <v>50</v>
      </c>
      <c r="D108" s="33" t="s">
        <v>323</v>
      </c>
      <c r="E108" s="33" t="s">
        <v>324</v>
      </c>
      <c r="F108" s="33">
        <v>9.71557708955E11</v>
      </c>
      <c r="G108" s="38"/>
      <c r="H108" s="33" t="s">
        <v>325</v>
      </c>
      <c r="I108" s="33">
        <v>2500.0</v>
      </c>
    </row>
    <row r="109" ht="22.5" hidden="1" customHeight="1">
      <c r="A109" s="35">
        <v>46215.3487015162</v>
      </c>
      <c r="B109" s="36">
        <v>46036.0</v>
      </c>
      <c r="C109" s="33" t="s">
        <v>53</v>
      </c>
      <c r="D109" s="33" t="s">
        <v>326</v>
      </c>
      <c r="E109" s="38"/>
      <c r="F109" s="33">
        <v>9.71558785313E11</v>
      </c>
      <c r="G109" s="38"/>
      <c r="H109" s="33" t="s">
        <v>327</v>
      </c>
      <c r="I109" s="33">
        <v>5000.0</v>
      </c>
    </row>
    <row r="110" ht="22.5" hidden="1" customHeight="1">
      <c r="A110" s="35">
        <v>46215.34921177084</v>
      </c>
      <c r="B110" s="36">
        <v>46036.0</v>
      </c>
      <c r="C110" s="33" t="s">
        <v>53</v>
      </c>
      <c r="D110" s="33" t="s">
        <v>328</v>
      </c>
      <c r="E110" s="38"/>
      <c r="F110" s="33">
        <v>9.745756562E9</v>
      </c>
      <c r="G110" s="38"/>
      <c r="H110" s="33" t="s">
        <v>329</v>
      </c>
      <c r="I110" s="33">
        <v>10000.0</v>
      </c>
    </row>
    <row r="111" ht="22.5" hidden="1" customHeight="1">
      <c r="A111" s="35">
        <v>46215.34991614583</v>
      </c>
      <c r="B111" s="36">
        <v>46037.0</v>
      </c>
      <c r="C111" s="33" t="s">
        <v>50</v>
      </c>
      <c r="D111" s="33" t="s">
        <v>330</v>
      </c>
      <c r="E111" s="33" t="s">
        <v>324</v>
      </c>
      <c r="F111" s="33">
        <v>9.71555326464E11</v>
      </c>
      <c r="G111" s="38"/>
      <c r="H111" s="33" t="s">
        <v>329</v>
      </c>
      <c r="I111" s="33">
        <v>60000.0</v>
      </c>
    </row>
    <row r="112" ht="22.5" hidden="1" customHeight="1">
      <c r="A112" s="35">
        <v>46234.51984664352</v>
      </c>
      <c r="B112" s="36">
        <v>46039.0</v>
      </c>
      <c r="C112" s="33" t="s">
        <v>64</v>
      </c>
      <c r="D112" s="33" t="s">
        <v>331</v>
      </c>
      <c r="E112" s="33" t="s">
        <v>332</v>
      </c>
      <c r="F112" s="33">
        <v>9.847943292E9</v>
      </c>
      <c r="G112" s="38"/>
      <c r="H112" s="33" t="s">
        <v>333</v>
      </c>
      <c r="I112" s="33">
        <v>5000.0</v>
      </c>
    </row>
    <row r="113" ht="22.5" hidden="1" customHeight="1">
      <c r="A113" s="35">
        <v>46234.52053425926</v>
      </c>
      <c r="B113" s="36">
        <v>46039.0</v>
      </c>
      <c r="C113" s="33" t="s">
        <v>64</v>
      </c>
      <c r="D113" s="33" t="s">
        <v>169</v>
      </c>
      <c r="E113" s="33" t="s">
        <v>332</v>
      </c>
      <c r="F113" s="33">
        <v>9.207339557E9</v>
      </c>
      <c r="G113" s="38"/>
      <c r="H113" s="33" t="s">
        <v>333</v>
      </c>
      <c r="I113" s="33">
        <v>2000.0</v>
      </c>
    </row>
    <row r="114" ht="22.5" hidden="1" customHeight="1">
      <c r="A114" s="35">
        <v>46234.52220122685</v>
      </c>
      <c r="B114" s="36">
        <v>46039.0</v>
      </c>
      <c r="C114" s="33" t="s">
        <v>50</v>
      </c>
      <c r="D114" s="33" t="s">
        <v>334</v>
      </c>
      <c r="E114" s="33" t="s">
        <v>324</v>
      </c>
      <c r="F114" s="33">
        <v>9.6653446985E11</v>
      </c>
      <c r="G114" s="38"/>
      <c r="H114" s="33" t="s">
        <v>335</v>
      </c>
      <c r="I114" s="33">
        <v>2420.0</v>
      </c>
    </row>
    <row r="115" ht="22.5" hidden="1" customHeight="1">
      <c r="A115" s="35">
        <v>46234.59926290509</v>
      </c>
      <c r="B115" s="36">
        <v>46042.0</v>
      </c>
      <c r="C115" s="33" t="s">
        <v>64</v>
      </c>
      <c r="D115" s="33" t="s">
        <v>336</v>
      </c>
      <c r="E115" s="38"/>
      <c r="F115" s="33">
        <v>9.447167777E9</v>
      </c>
      <c r="G115" s="38"/>
      <c r="H115" s="33" t="s">
        <v>338</v>
      </c>
      <c r="I115" s="33">
        <v>25000.0</v>
      </c>
    </row>
    <row r="116" ht="22.5" hidden="1" customHeight="1">
      <c r="A116" s="35">
        <v>46234.59996951389</v>
      </c>
      <c r="B116" s="36">
        <v>46043.0</v>
      </c>
      <c r="C116" s="33" t="s">
        <v>53</v>
      </c>
      <c r="D116" s="33" t="s">
        <v>339</v>
      </c>
      <c r="E116" s="38"/>
      <c r="F116" s="33">
        <v>9.71558785313E11</v>
      </c>
      <c r="G116" s="38"/>
      <c r="H116" s="33" t="s">
        <v>340</v>
      </c>
      <c r="I116" s="33">
        <v>5000.0</v>
      </c>
    </row>
    <row r="117" ht="22.5" hidden="1" customHeight="1">
      <c r="A117" s="35">
        <v>46234.600400324074</v>
      </c>
      <c r="B117" s="36">
        <v>46043.0</v>
      </c>
      <c r="C117" s="33" t="s">
        <v>50</v>
      </c>
      <c r="D117" s="33" t="s">
        <v>341</v>
      </c>
      <c r="E117" s="38"/>
      <c r="F117" s="33">
        <v>9.995569845E9</v>
      </c>
      <c r="G117" s="38"/>
      <c r="H117" s="33" t="s">
        <v>343</v>
      </c>
      <c r="I117" s="33">
        <v>2500.0</v>
      </c>
    </row>
    <row r="118" ht="22.5" hidden="1" customHeight="1">
      <c r="A118" s="35">
        <v>46234.6008237037</v>
      </c>
      <c r="B118" s="36">
        <v>46043.0</v>
      </c>
      <c r="C118" s="33" t="s">
        <v>50</v>
      </c>
      <c r="D118" s="33" t="s">
        <v>344</v>
      </c>
      <c r="E118" s="38"/>
      <c r="F118" s="33">
        <v>9.048515649E9</v>
      </c>
      <c r="G118" s="38"/>
      <c r="H118" s="33" t="s">
        <v>345</v>
      </c>
      <c r="I118" s="33">
        <v>2500.0</v>
      </c>
    </row>
    <row r="119" ht="22.5" hidden="1" customHeight="1">
      <c r="A119" s="35">
        <v>46234.6013028125</v>
      </c>
      <c r="B119" s="36">
        <v>46044.0</v>
      </c>
      <c r="C119" s="33" t="s">
        <v>50</v>
      </c>
      <c r="D119" s="33" t="s">
        <v>346</v>
      </c>
      <c r="E119" s="38"/>
      <c r="F119" s="33">
        <v>9.71544114977E11</v>
      </c>
      <c r="G119" s="38"/>
      <c r="H119" s="33" t="s">
        <v>348</v>
      </c>
      <c r="I119" s="33">
        <v>1250.0</v>
      </c>
    </row>
    <row r="120" ht="22.5" hidden="1" customHeight="1">
      <c r="A120" s="35">
        <v>46234.60171407407</v>
      </c>
      <c r="B120" s="36">
        <v>46044.0</v>
      </c>
      <c r="C120" s="33" t="s">
        <v>50</v>
      </c>
      <c r="D120" s="33" t="s">
        <v>349</v>
      </c>
      <c r="E120" s="38"/>
      <c r="F120" s="33">
        <v>6.235536872E9</v>
      </c>
      <c r="G120" s="38"/>
      <c r="H120" s="33" t="s">
        <v>350</v>
      </c>
      <c r="I120" s="33">
        <v>2500.0</v>
      </c>
    </row>
    <row r="121" ht="22.5" hidden="1" customHeight="1">
      <c r="A121" s="35">
        <v>46234.60211603009</v>
      </c>
      <c r="B121" s="36">
        <v>46044.0</v>
      </c>
      <c r="C121" s="33" t="s">
        <v>50</v>
      </c>
      <c r="D121" s="33" t="s">
        <v>351</v>
      </c>
      <c r="E121" s="38"/>
      <c r="F121" s="33">
        <v>9.847171271E9</v>
      </c>
      <c r="G121" s="38"/>
      <c r="H121" s="33" t="s">
        <v>353</v>
      </c>
      <c r="I121" s="33">
        <v>5000.0</v>
      </c>
    </row>
    <row r="122" ht="22.5" hidden="1" customHeight="1">
      <c r="A122" s="35">
        <v>46234.60268148148</v>
      </c>
      <c r="B122" s="36">
        <v>46046.0</v>
      </c>
      <c r="C122" s="33" t="s">
        <v>50</v>
      </c>
      <c r="D122" s="33" t="s">
        <v>354</v>
      </c>
      <c r="E122" s="38"/>
      <c r="F122" s="33">
        <v>9.846338367E9</v>
      </c>
      <c r="G122" s="38"/>
      <c r="H122" s="33" t="s">
        <v>355</v>
      </c>
      <c r="I122" s="33">
        <v>4000.0</v>
      </c>
    </row>
    <row r="123" ht="22.5" hidden="1" customHeight="1">
      <c r="A123" s="35">
        <v>46234.603940057874</v>
      </c>
      <c r="B123" s="36">
        <v>46047.0</v>
      </c>
      <c r="C123" s="33" t="s">
        <v>50</v>
      </c>
      <c r="D123" s="33" t="s">
        <v>356</v>
      </c>
      <c r="E123" s="38"/>
      <c r="F123" s="33">
        <v>4.47718067103E11</v>
      </c>
      <c r="G123" s="38"/>
      <c r="H123" s="33" t="s">
        <v>357</v>
      </c>
      <c r="I123" s="33">
        <v>3000.0</v>
      </c>
    </row>
    <row r="124" ht="22.5" hidden="1" customHeight="1">
      <c r="A124" s="35">
        <v>46234.60468930556</v>
      </c>
      <c r="B124" s="36">
        <v>46048.0</v>
      </c>
      <c r="C124" s="33" t="s">
        <v>64</v>
      </c>
      <c r="D124" s="33" t="s">
        <v>359</v>
      </c>
      <c r="E124" s="38"/>
      <c r="F124" s="33">
        <v>9.56733864E9</v>
      </c>
      <c r="G124" s="38"/>
      <c r="H124" s="33" t="s">
        <v>360</v>
      </c>
      <c r="I124" s="33">
        <v>10000.0</v>
      </c>
    </row>
    <row r="125" ht="22.5" hidden="1" customHeight="1">
      <c r="A125" s="35">
        <v>46234.60508037037</v>
      </c>
      <c r="B125" s="36">
        <v>46050.0</v>
      </c>
      <c r="C125" s="33" t="s">
        <v>64</v>
      </c>
      <c r="D125" s="33" t="s">
        <v>361</v>
      </c>
      <c r="E125" s="38"/>
      <c r="F125" s="33">
        <v>9.745724503E9</v>
      </c>
      <c r="G125" s="38"/>
      <c r="H125" s="33" t="s">
        <v>363</v>
      </c>
      <c r="I125" s="33">
        <v>5000.0</v>
      </c>
    </row>
    <row r="126" ht="22.5" hidden="1" customHeight="1">
      <c r="A126" s="35">
        <v>46234.60555421296</v>
      </c>
      <c r="B126" s="36">
        <v>46052.0</v>
      </c>
      <c r="C126" s="33" t="s">
        <v>53</v>
      </c>
      <c r="D126" s="33" t="s">
        <v>364</v>
      </c>
      <c r="E126" s="38"/>
      <c r="F126" s="33">
        <v>9.7150146377E11</v>
      </c>
      <c r="G126" s="38"/>
      <c r="H126" s="33" t="s">
        <v>365</v>
      </c>
      <c r="I126" s="33">
        <v>25000.0</v>
      </c>
    </row>
    <row r="127" ht="22.5" hidden="1" customHeight="1">
      <c r="A127" s="35">
        <v>46234.605991018514</v>
      </c>
      <c r="B127" s="36">
        <v>46052.0</v>
      </c>
      <c r="C127" s="33" t="s">
        <v>50</v>
      </c>
      <c r="D127" s="33" t="s">
        <v>366</v>
      </c>
      <c r="E127" s="38"/>
      <c r="F127" s="33">
        <v>9.605953571E9</v>
      </c>
      <c r="G127" s="38"/>
      <c r="H127" s="33" t="s">
        <v>367</v>
      </c>
      <c r="I127" s="33">
        <v>19166.0</v>
      </c>
    </row>
    <row r="128" ht="22.5" hidden="1" customHeight="1">
      <c r="A128" s="35">
        <v>46234.606560416665</v>
      </c>
      <c r="B128" s="36">
        <v>46052.0</v>
      </c>
      <c r="C128" s="33" t="s">
        <v>50</v>
      </c>
      <c r="D128" s="33" t="s">
        <v>369</v>
      </c>
      <c r="E128" s="38"/>
      <c r="F128" s="33">
        <v>9.71551301883E11</v>
      </c>
      <c r="G128" s="38"/>
      <c r="H128" s="33" t="s">
        <v>370</v>
      </c>
      <c r="I128" s="33">
        <v>10000.0</v>
      </c>
    </row>
    <row r="129" ht="22.5" hidden="1" customHeight="1">
      <c r="A129" s="35">
        <v>46234.62704303241</v>
      </c>
      <c r="B129" s="36">
        <v>46054.0</v>
      </c>
      <c r="C129" s="33" t="s">
        <v>64</v>
      </c>
      <c r="D129" s="33" t="s">
        <v>371</v>
      </c>
      <c r="E129" s="38"/>
      <c r="F129" s="33">
        <v>7.025580597E9</v>
      </c>
      <c r="G129" s="38"/>
      <c r="H129" s="33" t="s">
        <v>373</v>
      </c>
      <c r="I129" s="33">
        <v>30000.0</v>
      </c>
    </row>
    <row r="130" ht="22.5" hidden="1" customHeight="1">
      <c r="A130" s="35">
        <v>46234.62779726852</v>
      </c>
      <c r="B130" s="36">
        <v>46054.0</v>
      </c>
      <c r="C130" s="33" t="s">
        <v>50</v>
      </c>
      <c r="D130" s="33" t="s">
        <v>68</v>
      </c>
      <c r="E130" s="38"/>
      <c r="F130" s="29">
        <v>9.847880118E9</v>
      </c>
      <c r="G130" s="38"/>
      <c r="H130" s="33" t="s">
        <v>374</v>
      </c>
      <c r="I130" s="33">
        <v>2500.0</v>
      </c>
    </row>
    <row r="131" ht="22.5" hidden="1" customHeight="1">
      <c r="A131" s="35">
        <v>46234.62839416666</v>
      </c>
      <c r="B131" s="36">
        <v>46054.0</v>
      </c>
      <c r="C131" s="33" t="s">
        <v>50</v>
      </c>
      <c r="D131" s="33" t="s">
        <v>375</v>
      </c>
      <c r="E131" s="38"/>
      <c r="F131" s="33">
        <v>9.71559578165E11</v>
      </c>
      <c r="G131" s="38"/>
      <c r="H131" s="33" t="s">
        <v>377</v>
      </c>
      <c r="I131" s="33">
        <v>2500.0</v>
      </c>
    </row>
    <row r="132" ht="22.5" hidden="1" customHeight="1">
      <c r="A132" s="35">
        <v>46234.628786076384</v>
      </c>
      <c r="B132" s="36">
        <v>46055.0</v>
      </c>
      <c r="C132" s="33" t="s">
        <v>53</v>
      </c>
      <c r="D132" s="31" t="s">
        <v>54</v>
      </c>
      <c r="E132" s="38"/>
      <c r="F132" s="29">
        <v>9.995598693E9</v>
      </c>
      <c r="G132" s="38"/>
      <c r="H132" s="33" t="s">
        <v>378</v>
      </c>
      <c r="I132" s="33">
        <v>12500.0</v>
      </c>
    </row>
    <row r="133" ht="22.5" hidden="1" customHeight="1">
      <c r="A133" s="35">
        <v>46234.62987101852</v>
      </c>
      <c r="B133" s="36">
        <v>46055.0</v>
      </c>
      <c r="C133" s="33" t="s">
        <v>50</v>
      </c>
      <c r="D133" s="33" t="s">
        <v>379</v>
      </c>
      <c r="E133" s="38"/>
      <c r="F133" s="33">
        <v>9.71505275385E11</v>
      </c>
      <c r="G133" s="38"/>
      <c r="H133" s="33" t="s">
        <v>380</v>
      </c>
      <c r="I133" s="33">
        <v>10000.0</v>
      </c>
    </row>
    <row r="134" ht="22.5" hidden="1" customHeight="1">
      <c r="A134" s="35">
        <v>46234.63020501158</v>
      </c>
      <c r="B134" s="36">
        <v>46055.0</v>
      </c>
      <c r="C134" s="33" t="s">
        <v>50</v>
      </c>
      <c r="D134" s="33" t="s">
        <v>68</v>
      </c>
      <c r="E134" s="38"/>
      <c r="F134" s="29">
        <v>9.847880118E9</v>
      </c>
      <c r="G134" s="38"/>
      <c r="H134" s="33" t="s">
        <v>381</v>
      </c>
      <c r="I134" s="33">
        <v>4000.0</v>
      </c>
    </row>
    <row r="135" ht="22.5" hidden="1" customHeight="1">
      <c r="A135" s="35">
        <v>46234.63128165509</v>
      </c>
      <c r="B135" s="36">
        <v>46057.0</v>
      </c>
      <c r="C135" s="33" t="s">
        <v>53</v>
      </c>
      <c r="D135" s="33" t="s">
        <v>382</v>
      </c>
      <c r="E135" s="38"/>
      <c r="F135" s="33">
        <v>9.946072728E9</v>
      </c>
      <c r="G135" s="38"/>
      <c r="H135" s="33" t="s">
        <v>384</v>
      </c>
      <c r="I135" s="33">
        <v>15000.0</v>
      </c>
    </row>
    <row r="136" ht="22.5" hidden="1" customHeight="1">
      <c r="A136" s="35">
        <v>46234.63163208333</v>
      </c>
      <c r="B136" s="36">
        <v>46057.0</v>
      </c>
      <c r="C136" s="33" t="s">
        <v>53</v>
      </c>
      <c r="D136" s="33" t="s">
        <v>385</v>
      </c>
      <c r="E136" s="38"/>
      <c r="F136" s="33">
        <v>9.447448587E9</v>
      </c>
      <c r="G136" s="38"/>
      <c r="H136" s="33" t="s">
        <v>386</v>
      </c>
      <c r="I136" s="33">
        <v>20000.0</v>
      </c>
    </row>
    <row r="137" ht="22.5" hidden="1" customHeight="1">
      <c r="A137" s="35">
        <v>46234.63201729167</v>
      </c>
      <c r="B137" s="36">
        <v>46057.0</v>
      </c>
      <c r="C137" s="33" t="s">
        <v>50</v>
      </c>
      <c r="D137" s="33" t="s">
        <v>387</v>
      </c>
      <c r="E137" s="38"/>
      <c r="F137" s="33">
        <v>9.946998398E9</v>
      </c>
      <c r="G137" s="38"/>
      <c r="H137" s="33" t="s">
        <v>388</v>
      </c>
      <c r="I137" s="33">
        <v>3000.0</v>
      </c>
    </row>
    <row r="138" ht="22.5" hidden="1" customHeight="1">
      <c r="A138" s="35">
        <v>46234.632404131946</v>
      </c>
      <c r="B138" s="36">
        <v>46057.0</v>
      </c>
      <c r="C138" s="33" t="s">
        <v>50</v>
      </c>
      <c r="D138" s="33" t="s">
        <v>389</v>
      </c>
      <c r="E138" s="38"/>
      <c r="F138" s="33">
        <v>7.02500813E9</v>
      </c>
      <c r="G138" s="38"/>
      <c r="H138" s="33" t="s">
        <v>390</v>
      </c>
      <c r="I138" s="33">
        <v>15000.0</v>
      </c>
    </row>
    <row r="139" ht="22.5" hidden="1" customHeight="1">
      <c r="A139" s="35">
        <v>46234.63279325231</v>
      </c>
      <c r="B139" s="36">
        <v>46058.0</v>
      </c>
      <c r="C139" s="33" t="s">
        <v>50</v>
      </c>
      <c r="D139" s="31" t="s">
        <v>59</v>
      </c>
      <c r="E139" s="38"/>
      <c r="F139" s="29">
        <v>8.606781572E9</v>
      </c>
      <c r="G139" s="38"/>
      <c r="H139" s="33" t="s">
        <v>391</v>
      </c>
      <c r="I139" s="33">
        <v>2000.0</v>
      </c>
    </row>
    <row r="140" ht="22.5" hidden="1" customHeight="1">
      <c r="A140" s="35">
        <v>46234.63360267361</v>
      </c>
      <c r="B140" s="36">
        <v>46058.0</v>
      </c>
      <c r="C140" s="33" t="s">
        <v>50</v>
      </c>
      <c r="D140" s="33" t="s">
        <v>366</v>
      </c>
      <c r="E140" s="38"/>
      <c r="F140" s="33">
        <v>9.605953571E9</v>
      </c>
      <c r="G140" s="38"/>
      <c r="H140" s="33" t="s">
        <v>393</v>
      </c>
      <c r="I140" s="33">
        <v>4698.0</v>
      </c>
    </row>
    <row r="141" ht="22.5" hidden="1" customHeight="1">
      <c r="A141" s="35">
        <v>46234.633982581014</v>
      </c>
      <c r="B141" s="36">
        <v>46058.0</v>
      </c>
      <c r="C141" s="33" t="s">
        <v>50</v>
      </c>
      <c r="D141" s="33" t="s">
        <v>394</v>
      </c>
      <c r="E141" s="38"/>
      <c r="F141" s="33">
        <v>9.71503963436E11</v>
      </c>
      <c r="G141" s="38"/>
      <c r="H141" s="33" t="s">
        <v>395</v>
      </c>
      <c r="I141" s="33">
        <v>10000.0</v>
      </c>
    </row>
    <row r="142" ht="22.5" hidden="1" customHeight="1">
      <c r="A142" s="35">
        <v>46234.63438587963</v>
      </c>
      <c r="B142" s="36">
        <v>46058.0</v>
      </c>
      <c r="C142" s="33" t="s">
        <v>50</v>
      </c>
      <c r="D142" s="33" t="s">
        <v>396</v>
      </c>
      <c r="E142" s="38"/>
      <c r="F142" s="33">
        <v>9.66502393237E11</v>
      </c>
      <c r="G142" s="38"/>
      <c r="H142" s="33" t="s">
        <v>397</v>
      </c>
      <c r="I142" s="33">
        <v>5000.0</v>
      </c>
    </row>
    <row r="143" ht="22.5" hidden="1" customHeight="1">
      <c r="A143" s="35">
        <v>46234.636503981485</v>
      </c>
      <c r="B143" s="36">
        <v>46060.0</v>
      </c>
      <c r="C143" s="33" t="s">
        <v>50</v>
      </c>
      <c r="D143" s="33" t="s">
        <v>398</v>
      </c>
      <c r="E143" s="33" t="s">
        <v>399</v>
      </c>
      <c r="F143" s="33">
        <v>9.846090598E9</v>
      </c>
      <c r="G143" s="38"/>
      <c r="H143" s="33" t="s">
        <v>400</v>
      </c>
      <c r="I143" s="33">
        <v>40000.0</v>
      </c>
    </row>
    <row r="144" ht="22.5" hidden="1" customHeight="1">
      <c r="A144" s="35">
        <v>46234.63735990741</v>
      </c>
      <c r="B144" s="36">
        <v>46060.0</v>
      </c>
      <c r="C144" s="33" t="s">
        <v>50</v>
      </c>
      <c r="D144" s="33" t="s">
        <v>398</v>
      </c>
      <c r="E144" s="33" t="s">
        <v>399</v>
      </c>
      <c r="F144" s="33">
        <v>9.846090598E9</v>
      </c>
      <c r="G144" s="38"/>
      <c r="H144" s="33" t="s">
        <v>401</v>
      </c>
      <c r="I144" s="33">
        <v>45000.0</v>
      </c>
    </row>
    <row r="145" ht="22.5" hidden="1" customHeight="1">
      <c r="A145" s="35">
        <v>46234.638023217594</v>
      </c>
      <c r="B145" s="36">
        <v>46062.0</v>
      </c>
      <c r="C145" s="33" t="s">
        <v>50</v>
      </c>
      <c r="D145" s="33" t="s">
        <v>398</v>
      </c>
      <c r="E145" s="33" t="s">
        <v>399</v>
      </c>
      <c r="F145" s="33">
        <v>9.846090598E9</v>
      </c>
      <c r="G145" s="38"/>
      <c r="H145" s="33" t="s">
        <v>403</v>
      </c>
      <c r="I145" s="33">
        <v>40000.0</v>
      </c>
    </row>
    <row r="146" ht="22.5" hidden="1" customHeight="1">
      <c r="A146" s="35">
        <v>46234.63859391204</v>
      </c>
      <c r="B146" s="36">
        <v>46062.0</v>
      </c>
      <c r="C146" s="33" t="s">
        <v>50</v>
      </c>
      <c r="D146" s="33" t="s">
        <v>404</v>
      </c>
      <c r="E146" s="33" t="s">
        <v>399</v>
      </c>
      <c r="F146" s="33">
        <v>9.846090598E9</v>
      </c>
      <c r="G146" s="38"/>
      <c r="H146" s="33" t="s">
        <v>405</v>
      </c>
      <c r="I146" s="33">
        <v>25000.0</v>
      </c>
    </row>
    <row r="147" ht="22.5" hidden="1" customHeight="1">
      <c r="A147" s="35">
        <v>46234.63972637731</v>
      </c>
      <c r="B147" s="36">
        <v>46063.0</v>
      </c>
      <c r="C147" s="33" t="s">
        <v>53</v>
      </c>
      <c r="D147" s="33" t="s">
        <v>406</v>
      </c>
      <c r="E147" s="33" t="s">
        <v>332</v>
      </c>
      <c r="F147" s="33">
        <v>9.539993833E9</v>
      </c>
      <c r="G147" s="38"/>
      <c r="H147" s="33" t="s">
        <v>407</v>
      </c>
      <c r="I147" s="33">
        <v>30000.0</v>
      </c>
    </row>
    <row r="148" ht="22.5" hidden="1" customHeight="1">
      <c r="A148" s="35">
        <v>46234.648635300924</v>
      </c>
      <c r="B148" s="36">
        <v>46064.0</v>
      </c>
      <c r="C148" s="33" t="s">
        <v>64</v>
      </c>
      <c r="D148" s="33" t="s">
        <v>408</v>
      </c>
      <c r="E148" s="33" t="s">
        <v>409</v>
      </c>
      <c r="F148" s="38"/>
      <c r="G148" s="38"/>
      <c r="H148" s="33" t="s">
        <v>410</v>
      </c>
      <c r="I148" s="33">
        <v>2500.0</v>
      </c>
    </row>
    <row r="149" ht="22.5" hidden="1" customHeight="1">
      <c r="A149" s="35">
        <v>46234.650265578704</v>
      </c>
      <c r="B149" s="36">
        <v>46064.0</v>
      </c>
      <c r="C149" s="33" t="s">
        <v>64</v>
      </c>
      <c r="D149" s="33" t="s">
        <v>169</v>
      </c>
      <c r="E149" s="33" t="s">
        <v>332</v>
      </c>
      <c r="F149" s="33">
        <v>9.207339557E9</v>
      </c>
      <c r="G149" s="38"/>
      <c r="H149" s="33" t="s">
        <v>410</v>
      </c>
      <c r="I149" s="33">
        <v>2000.0</v>
      </c>
    </row>
    <row r="150" ht="22.5" hidden="1" customHeight="1">
      <c r="A150" s="35">
        <v>46234.650823055556</v>
      </c>
      <c r="B150" s="36">
        <v>46064.0</v>
      </c>
      <c r="C150" s="33" t="s">
        <v>53</v>
      </c>
      <c r="D150" s="33" t="s">
        <v>411</v>
      </c>
      <c r="E150" s="38"/>
      <c r="F150" s="33">
        <v>8.111985218E9</v>
      </c>
      <c r="G150" s="38"/>
      <c r="H150" s="33" t="s">
        <v>412</v>
      </c>
      <c r="I150" s="33">
        <v>2000.0</v>
      </c>
    </row>
    <row r="151" ht="22.5" hidden="1" customHeight="1">
      <c r="A151" s="35">
        <v>46234.66141648148</v>
      </c>
      <c r="B151" s="36">
        <v>46065.0</v>
      </c>
      <c r="C151" s="33" t="s">
        <v>50</v>
      </c>
      <c r="D151" s="33" t="s">
        <v>366</v>
      </c>
      <c r="E151" s="38"/>
      <c r="F151" s="33">
        <v>9.605953571E9</v>
      </c>
      <c r="G151" s="38"/>
      <c r="H151" s="33" t="s">
        <v>414</v>
      </c>
      <c r="I151" s="33">
        <v>2566.0</v>
      </c>
    </row>
    <row r="152" ht="22.5" hidden="1" customHeight="1">
      <c r="A152" s="35">
        <v>46234.662239363424</v>
      </c>
      <c r="B152" s="36">
        <v>46067.0</v>
      </c>
      <c r="C152" s="33" t="s">
        <v>50</v>
      </c>
      <c r="D152" s="33" t="s">
        <v>415</v>
      </c>
      <c r="E152" s="38"/>
      <c r="F152" s="33">
        <v>8.547465634E9</v>
      </c>
      <c r="G152" s="38"/>
      <c r="H152" s="33" t="s">
        <v>416</v>
      </c>
      <c r="I152" s="33">
        <v>30000.0</v>
      </c>
    </row>
    <row r="153" ht="22.5" hidden="1" customHeight="1">
      <c r="A153" s="35">
        <v>46234.662714756945</v>
      </c>
      <c r="B153" s="36">
        <v>46068.0</v>
      </c>
      <c r="C153" s="33" t="s">
        <v>64</v>
      </c>
      <c r="D153" s="33" t="s">
        <v>417</v>
      </c>
      <c r="E153" s="38"/>
      <c r="F153" s="33">
        <v>9.63348915E9</v>
      </c>
      <c r="G153" s="38"/>
      <c r="H153" s="33" t="s">
        <v>418</v>
      </c>
      <c r="I153" s="33">
        <v>30000.0</v>
      </c>
    </row>
    <row r="154" ht="22.5" hidden="1" customHeight="1">
      <c r="A154" s="35">
        <v>46234.663213078704</v>
      </c>
      <c r="B154" s="36">
        <v>46068.0</v>
      </c>
      <c r="C154" s="33" t="s">
        <v>53</v>
      </c>
      <c r="D154" s="33" t="s">
        <v>419</v>
      </c>
      <c r="E154" s="38"/>
      <c r="F154" s="33">
        <v>9.71528588595E11</v>
      </c>
      <c r="G154" s="38"/>
      <c r="H154" s="33" t="s">
        <v>420</v>
      </c>
      <c r="I154" s="33">
        <v>2500.0</v>
      </c>
    </row>
    <row r="155" ht="22.5" hidden="1" customHeight="1">
      <c r="A155" s="35">
        <v>46234.66357921297</v>
      </c>
      <c r="B155" s="36">
        <v>46068.0</v>
      </c>
      <c r="C155" s="33" t="s">
        <v>53</v>
      </c>
      <c r="D155" s="33" t="s">
        <v>419</v>
      </c>
      <c r="E155" s="38"/>
      <c r="F155" s="33">
        <v>9.71528588595E11</v>
      </c>
      <c r="G155" s="38"/>
      <c r="H155" s="33" t="s">
        <v>421</v>
      </c>
      <c r="I155" s="33">
        <v>2500.0</v>
      </c>
    </row>
    <row r="156" ht="22.5" hidden="1" customHeight="1">
      <c r="A156" s="35">
        <v>46234.66396291667</v>
      </c>
      <c r="B156" s="36">
        <v>46069.0</v>
      </c>
      <c r="C156" s="33" t="s">
        <v>53</v>
      </c>
      <c r="D156" s="33" t="s">
        <v>423</v>
      </c>
      <c r="E156" s="38"/>
      <c r="F156" s="33">
        <v>9.605034685E9</v>
      </c>
      <c r="G156" s="38"/>
      <c r="H156" s="33" t="s">
        <v>424</v>
      </c>
      <c r="I156" s="33">
        <v>5000.0</v>
      </c>
    </row>
    <row r="157" ht="22.5" hidden="1" customHeight="1">
      <c r="A157" s="35">
        <v>46234.66816570602</v>
      </c>
      <c r="B157" s="36">
        <v>46069.0</v>
      </c>
      <c r="C157" s="33" t="s">
        <v>53</v>
      </c>
      <c r="D157" s="33" t="s">
        <v>425</v>
      </c>
      <c r="E157" s="38"/>
      <c r="F157" s="33">
        <v>7.207629254E9</v>
      </c>
      <c r="G157" s="38"/>
      <c r="H157" s="33" t="s">
        <v>426</v>
      </c>
      <c r="I157" s="33">
        <v>5000.0</v>
      </c>
    </row>
    <row r="158" ht="22.5" hidden="1" customHeight="1">
      <c r="A158" s="35">
        <v>46234.6687056713</v>
      </c>
      <c r="B158" s="36">
        <v>46070.0</v>
      </c>
      <c r="C158" s="33" t="s">
        <v>50</v>
      </c>
      <c r="D158" s="33" t="s">
        <v>427</v>
      </c>
      <c r="E158" s="33" t="s">
        <v>428</v>
      </c>
      <c r="F158" s="33">
        <v>9.6655243206E11</v>
      </c>
      <c r="G158" s="38"/>
      <c r="H158" s="33" t="s">
        <v>429</v>
      </c>
      <c r="I158" s="33">
        <v>16000.0</v>
      </c>
    </row>
    <row r="159" ht="22.5" hidden="1" customHeight="1">
      <c r="A159" s="35">
        <v>46234.66931037037</v>
      </c>
      <c r="B159" s="36">
        <v>46070.0</v>
      </c>
      <c r="C159" s="33" t="s">
        <v>50</v>
      </c>
      <c r="D159" s="33" t="s">
        <v>430</v>
      </c>
      <c r="E159" s="38"/>
      <c r="F159" s="33">
        <v>9.71554086708E11</v>
      </c>
      <c r="G159" s="38"/>
      <c r="H159" s="33" t="s">
        <v>431</v>
      </c>
      <c r="I159" s="33">
        <v>2500.0</v>
      </c>
    </row>
    <row r="160" ht="22.5" hidden="1" customHeight="1">
      <c r="A160" s="35">
        <v>46234.66969574074</v>
      </c>
      <c r="B160" s="36">
        <v>46071.0</v>
      </c>
      <c r="C160" s="33" t="s">
        <v>53</v>
      </c>
      <c r="D160" s="33" t="s">
        <v>432</v>
      </c>
      <c r="E160" s="38"/>
      <c r="F160" s="33">
        <v>9.745759562E9</v>
      </c>
      <c r="G160" s="38"/>
      <c r="H160" s="33" t="s">
        <v>433</v>
      </c>
      <c r="I160" s="33">
        <v>15000.0</v>
      </c>
    </row>
    <row r="161" ht="22.5" hidden="1" customHeight="1">
      <c r="A161" s="35">
        <v>46234.67014635417</v>
      </c>
      <c r="B161" s="36">
        <v>46071.0</v>
      </c>
      <c r="C161" s="33" t="s">
        <v>50</v>
      </c>
      <c r="D161" s="33" t="s">
        <v>434</v>
      </c>
      <c r="E161" s="38"/>
      <c r="F161" s="33">
        <v>9.048515649E9</v>
      </c>
      <c r="G161" s="38"/>
      <c r="H161" s="33" t="s">
        <v>435</v>
      </c>
      <c r="I161" s="33">
        <v>2500.0</v>
      </c>
    </row>
    <row r="162" ht="22.5" hidden="1" customHeight="1">
      <c r="A162" s="35">
        <v>46234.67058967592</v>
      </c>
      <c r="B162" s="36">
        <v>46071.0</v>
      </c>
      <c r="C162" s="33" t="s">
        <v>50</v>
      </c>
      <c r="D162" s="33" t="s">
        <v>436</v>
      </c>
      <c r="E162" s="38"/>
      <c r="F162" s="33">
        <v>9.71557708955E11</v>
      </c>
      <c r="G162" s="38"/>
      <c r="H162" s="33" t="s">
        <v>437</v>
      </c>
      <c r="I162" s="33">
        <v>2500.0</v>
      </c>
    </row>
    <row r="163" ht="22.5" hidden="1" customHeight="1">
      <c r="A163" s="35">
        <v>46234.67095351852</v>
      </c>
      <c r="B163" s="36">
        <v>46072.0</v>
      </c>
      <c r="C163" s="33" t="s">
        <v>50</v>
      </c>
      <c r="D163" s="33" t="s">
        <v>346</v>
      </c>
      <c r="E163" s="38"/>
      <c r="F163" s="33">
        <v>9.71544114977E11</v>
      </c>
      <c r="G163" s="38"/>
      <c r="H163" s="33" t="s">
        <v>438</v>
      </c>
      <c r="I163" s="33">
        <v>1250.0</v>
      </c>
    </row>
    <row r="164" ht="22.5" hidden="1" customHeight="1">
      <c r="A164" s="35">
        <v>46234.67769677083</v>
      </c>
      <c r="B164" s="36">
        <v>46073.0</v>
      </c>
      <c r="C164" s="33" t="s">
        <v>50</v>
      </c>
      <c r="D164" s="33" t="s">
        <v>439</v>
      </c>
      <c r="E164" s="38"/>
      <c r="F164" s="33">
        <v>9.544809328E9</v>
      </c>
      <c r="G164" s="38"/>
      <c r="H164" s="33" t="s">
        <v>440</v>
      </c>
      <c r="I164" s="33">
        <v>5400.0</v>
      </c>
    </row>
    <row r="165" ht="22.5" hidden="1" customHeight="1">
      <c r="A165" s="35">
        <v>46234.678497037035</v>
      </c>
      <c r="B165" s="36">
        <v>46073.0</v>
      </c>
      <c r="C165" s="33" t="s">
        <v>50</v>
      </c>
      <c r="D165" s="33" t="s">
        <v>441</v>
      </c>
      <c r="E165" s="38"/>
      <c r="F165" s="33">
        <v>9.71555494791E11</v>
      </c>
      <c r="G165" s="38"/>
      <c r="H165" s="33" t="s">
        <v>442</v>
      </c>
      <c r="I165" s="33">
        <v>2500.0</v>
      </c>
    </row>
    <row r="166" ht="22.5" hidden="1" customHeight="1">
      <c r="A166" s="35">
        <v>46234.678824305556</v>
      </c>
      <c r="B166" s="36">
        <v>46073.0</v>
      </c>
      <c r="C166" s="33" t="s">
        <v>50</v>
      </c>
      <c r="D166" s="33" t="s">
        <v>443</v>
      </c>
      <c r="E166" s="38"/>
      <c r="F166" s="33">
        <v>9.846338367E9</v>
      </c>
      <c r="G166" s="38"/>
      <c r="H166" s="33" t="s">
        <v>444</v>
      </c>
      <c r="I166" s="33">
        <v>4000.0</v>
      </c>
    </row>
    <row r="167" ht="22.5" hidden="1" customHeight="1">
      <c r="A167" s="35">
        <v>46234.67927936342</v>
      </c>
      <c r="B167" s="36">
        <v>46073.0</v>
      </c>
      <c r="C167" s="33" t="s">
        <v>50</v>
      </c>
      <c r="D167" s="33" t="s">
        <v>445</v>
      </c>
      <c r="E167" s="38"/>
      <c r="F167" s="33">
        <v>9.7150767071E11</v>
      </c>
      <c r="G167" s="38"/>
      <c r="H167" s="33" t="s">
        <v>446</v>
      </c>
      <c r="I167" s="33">
        <v>30000.0</v>
      </c>
    </row>
    <row r="168" ht="22.5" hidden="1" customHeight="1">
      <c r="A168" s="35">
        <v>46234.67980615741</v>
      </c>
      <c r="B168" s="36">
        <v>46073.0</v>
      </c>
      <c r="C168" s="33" t="s">
        <v>50</v>
      </c>
      <c r="D168" s="33" t="s">
        <v>445</v>
      </c>
      <c r="E168" s="38"/>
      <c r="F168" s="33">
        <v>9.7150767071E11</v>
      </c>
      <c r="G168" s="38"/>
      <c r="H168" s="33" t="s">
        <v>447</v>
      </c>
      <c r="I168" s="33">
        <v>30000.0</v>
      </c>
    </row>
    <row r="169" ht="22.5" hidden="1" customHeight="1">
      <c r="A169" s="35">
        <v>46234.68017943287</v>
      </c>
      <c r="B169" s="36">
        <v>46073.0</v>
      </c>
      <c r="C169" s="33" t="s">
        <v>50</v>
      </c>
      <c r="D169" s="33" t="s">
        <v>448</v>
      </c>
      <c r="E169" s="38"/>
      <c r="F169" s="33">
        <v>9.995569845E9</v>
      </c>
      <c r="G169" s="38"/>
      <c r="H169" s="33" t="s">
        <v>449</v>
      </c>
      <c r="I169" s="33">
        <v>2500.0</v>
      </c>
    </row>
    <row r="170" ht="22.5" hidden="1" customHeight="1">
      <c r="A170" s="35">
        <v>46234.68054635417</v>
      </c>
      <c r="B170" s="36">
        <v>46074.0</v>
      </c>
      <c r="C170" s="33" t="s">
        <v>53</v>
      </c>
      <c r="D170" s="33" t="s">
        <v>450</v>
      </c>
      <c r="E170" s="38"/>
      <c r="F170" s="33">
        <v>9.7433798583E10</v>
      </c>
      <c r="G170" s="38"/>
      <c r="H170" s="33" t="s">
        <v>451</v>
      </c>
      <c r="I170" s="33">
        <v>2500.0</v>
      </c>
    </row>
    <row r="171" ht="22.5" hidden="1" customHeight="1">
      <c r="A171" s="35">
        <v>46234.760199131946</v>
      </c>
      <c r="B171" s="36">
        <v>46074.0</v>
      </c>
      <c r="C171" s="33" t="s">
        <v>64</v>
      </c>
      <c r="D171" s="33" t="s">
        <v>452</v>
      </c>
      <c r="E171" s="33" t="s">
        <v>453</v>
      </c>
      <c r="F171" s="33">
        <v>9.89527027E9</v>
      </c>
      <c r="G171" s="38"/>
      <c r="H171" s="33" t="s">
        <v>454</v>
      </c>
      <c r="I171" s="33">
        <v>15000.0</v>
      </c>
    </row>
    <row r="172" ht="22.5" hidden="1" customHeight="1">
      <c r="A172" s="35">
        <v>46234.76070184028</v>
      </c>
      <c r="B172" s="36">
        <v>46075.0</v>
      </c>
      <c r="C172" s="33" t="s">
        <v>50</v>
      </c>
      <c r="D172" s="33" t="s">
        <v>455</v>
      </c>
      <c r="E172" s="38"/>
      <c r="F172" s="33">
        <v>9.092280277E9</v>
      </c>
      <c r="G172" s="38"/>
      <c r="H172" s="33" t="s">
        <v>456</v>
      </c>
      <c r="I172" s="33">
        <v>30000.0</v>
      </c>
    </row>
    <row r="173" ht="22.5" hidden="1" customHeight="1">
      <c r="A173" s="35">
        <v>46234.76166746528</v>
      </c>
      <c r="B173" s="36">
        <v>46078.0</v>
      </c>
      <c r="C173" s="33" t="s">
        <v>50</v>
      </c>
      <c r="D173" s="33" t="s">
        <v>457</v>
      </c>
      <c r="E173" s="38"/>
      <c r="F173" s="33">
        <v>9.961975336E9</v>
      </c>
      <c r="G173" s="38"/>
      <c r="H173" s="33" t="s">
        <v>458</v>
      </c>
      <c r="I173" s="33">
        <v>5000.0</v>
      </c>
    </row>
    <row r="174" ht="22.5" hidden="1" customHeight="1">
      <c r="A174" s="35">
        <v>46234.76215887732</v>
      </c>
      <c r="B174" s="36">
        <v>46079.0</v>
      </c>
      <c r="C174" s="33" t="s">
        <v>50</v>
      </c>
      <c r="D174" s="33" t="s">
        <v>356</v>
      </c>
      <c r="E174" s="38"/>
      <c r="F174" s="33">
        <v>4.4778067103E10</v>
      </c>
      <c r="G174" s="38"/>
      <c r="H174" s="33" t="s">
        <v>459</v>
      </c>
      <c r="I174" s="33">
        <v>3000.0</v>
      </c>
    </row>
    <row r="175" ht="22.5" hidden="1" customHeight="1">
      <c r="A175" s="35">
        <v>46234.762569108796</v>
      </c>
      <c r="B175" s="36">
        <v>46080.0</v>
      </c>
      <c r="C175" s="33" t="s">
        <v>64</v>
      </c>
      <c r="D175" s="33" t="s">
        <v>460</v>
      </c>
      <c r="E175" s="38"/>
      <c r="F175" s="33">
        <v>9.061665299E9</v>
      </c>
      <c r="G175" s="38"/>
      <c r="H175" s="33" t="s">
        <v>461</v>
      </c>
      <c r="I175" s="33">
        <v>15000.0</v>
      </c>
    </row>
    <row r="176" ht="22.5" hidden="1" customHeight="1">
      <c r="A176" s="35">
        <v>46234.76648813658</v>
      </c>
      <c r="B176" s="36">
        <v>46080.0</v>
      </c>
      <c r="C176" s="33" t="s">
        <v>53</v>
      </c>
      <c r="D176" s="33" t="s">
        <v>462</v>
      </c>
      <c r="E176" s="38"/>
      <c r="F176" s="33">
        <v>9.656530305E9</v>
      </c>
      <c r="G176" s="38"/>
      <c r="H176" s="33" t="s">
        <v>463</v>
      </c>
      <c r="I176" s="33">
        <v>5000.0</v>
      </c>
    </row>
    <row r="177" ht="22.5" hidden="1" customHeight="1">
      <c r="A177" s="35">
        <v>46234.767042638894</v>
      </c>
      <c r="B177" s="36">
        <v>46080.0</v>
      </c>
      <c r="C177" s="33" t="s">
        <v>53</v>
      </c>
      <c r="D177" s="33" t="s">
        <v>464</v>
      </c>
      <c r="E177" s="38"/>
      <c r="F177" s="33">
        <v>7.306882693E9</v>
      </c>
      <c r="G177" s="38"/>
      <c r="H177" s="33" t="s">
        <v>465</v>
      </c>
      <c r="I177" s="33">
        <v>20000.0</v>
      </c>
    </row>
    <row r="178" ht="22.5" hidden="1" customHeight="1">
      <c r="A178" s="35">
        <v>46234.76770347222</v>
      </c>
      <c r="B178" s="36">
        <v>46080.0</v>
      </c>
      <c r="C178" s="33" t="s">
        <v>50</v>
      </c>
      <c r="D178" s="33" t="s">
        <v>466</v>
      </c>
      <c r="E178" s="33" t="s">
        <v>467</v>
      </c>
      <c r="F178" s="33">
        <v>9.447741751E9</v>
      </c>
      <c r="G178" s="38"/>
      <c r="H178" s="33" t="s">
        <v>468</v>
      </c>
      <c r="I178" s="33">
        <v>10000.0</v>
      </c>
    </row>
    <row r="179" ht="22.5" hidden="1" customHeight="1">
      <c r="A179" s="35">
        <v>46234.768274629634</v>
      </c>
      <c r="B179" s="36">
        <v>46080.0</v>
      </c>
      <c r="C179" s="33" t="s">
        <v>50</v>
      </c>
      <c r="D179" s="33" t="s">
        <v>387</v>
      </c>
      <c r="E179" s="38"/>
      <c r="F179" s="33">
        <v>9.946998398E9</v>
      </c>
      <c r="G179" s="38"/>
      <c r="H179" s="33" t="s">
        <v>469</v>
      </c>
      <c r="I179" s="33">
        <v>3000.0</v>
      </c>
    </row>
    <row r="180" ht="22.5" hidden="1" customHeight="1">
      <c r="A180" s="35">
        <v>46234.769067870366</v>
      </c>
      <c r="B180" s="36">
        <v>46080.0</v>
      </c>
      <c r="C180" s="33" t="s">
        <v>50</v>
      </c>
      <c r="D180" s="33" t="s">
        <v>470</v>
      </c>
      <c r="E180" s="33" t="s">
        <v>387</v>
      </c>
      <c r="F180" s="33">
        <v>9.946998398E9</v>
      </c>
      <c r="G180" s="38"/>
      <c r="H180" s="33" t="s">
        <v>471</v>
      </c>
      <c r="I180" s="33">
        <v>7350.0</v>
      </c>
    </row>
    <row r="181" ht="22.5" hidden="1" customHeight="1">
      <c r="A181" s="35">
        <v>46234.77020537037</v>
      </c>
      <c r="B181" s="36">
        <v>46081.0</v>
      </c>
      <c r="C181" s="33" t="s">
        <v>64</v>
      </c>
      <c r="D181" s="33" t="s">
        <v>472</v>
      </c>
      <c r="E181" s="33" t="s">
        <v>332</v>
      </c>
      <c r="F181" s="33">
        <v>9.995655865E9</v>
      </c>
      <c r="G181" s="38"/>
      <c r="H181" s="33" t="s">
        <v>473</v>
      </c>
      <c r="I181" s="33">
        <v>2000.0</v>
      </c>
    </row>
    <row r="182" ht="22.5" hidden="1" customHeight="1">
      <c r="A182" s="35">
        <v>46234.77206703703</v>
      </c>
      <c r="B182" s="36">
        <v>46081.0</v>
      </c>
      <c r="C182" s="33" t="s">
        <v>64</v>
      </c>
      <c r="D182" s="33" t="s">
        <v>474</v>
      </c>
      <c r="E182" s="38"/>
      <c r="F182" s="33">
        <v>9.447418773E9</v>
      </c>
      <c r="G182" s="38"/>
      <c r="H182" s="33" t="s">
        <v>475</v>
      </c>
      <c r="I182" s="33">
        <v>50000.0</v>
      </c>
    </row>
    <row r="183" ht="22.5" hidden="1" customHeight="1">
      <c r="A183" s="35">
        <v>46234.77250546296</v>
      </c>
      <c r="B183" s="36">
        <v>46081.0</v>
      </c>
      <c r="C183" s="33" t="s">
        <v>50</v>
      </c>
      <c r="D183" s="33" t="s">
        <v>476</v>
      </c>
      <c r="E183" s="38"/>
      <c r="F183" s="33">
        <v>9.895686896E9</v>
      </c>
      <c r="G183" s="38"/>
      <c r="H183" s="33" t="s">
        <v>477</v>
      </c>
      <c r="I183" s="33">
        <v>30000.0</v>
      </c>
    </row>
    <row r="184" ht="22.5" hidden="1" customHeight="1">
      <c r="A184" s="35">
        <v>46234.77581394676</v>
      </c>
      <c r="B184" s="36">
        <v>46083.0</v>
      </c>
      <c r="C184" s="33" t="s">
        <v>64</v>
      </c>
      <c r="D184" s="33" t="s">
        <v>144</v>
      </c>
      <c r="E184" s="33" t="s">
        <v>478</v>
      </c>
      <c r="F184" s="33">
        <v>9.048620005E9</v>
      </c>
      <c r="G184" s="38"/>
      <c r="H184" s="33" t="s">
        <v>479</v>
      </c>
      <c r="I184" s="33">
        <v>5500.0</v>
      </c>
    </row>
    <row r="185" ht="22.5" hidden="1" customHeight="1">
      <c r="A185" s="35">
        <v>46234.77627259259</v>
      </c>
      <c r="B185" s="36">
        <v>46083.0</v>
      </c>
      <c r="C185" s="33" t="s">
        <v>50</v>
      </c>
      <c r="D185" s="33" t="s">
        <v>480</v>
      </c>
      <c r="E185" s="38"/>
      <c r="F185" s="33">
        <v>9.71559578165E11</v>
      </c>
      <c r="G185" s="38"/>
      <c r="H185" s="33" t="s">
        <v>481</v>
      </c>
      <c r="I185" s="33">
        <v>2500.0</v>
      </c>
    </row>
    <row r="186" ht="22.5" hidden="1" customHeight="1">
      <c r="A186" s="35">
        <v>46234.77714637731</v>
      </c>
      <c r="B186" s="36">
        <v>46083.0</v>
      </c>
      <c r="C186" s="33" t="s">
        <v>50</v>
      </c>
      <c r="D186" s="33" t="s">
        <v>68</v>
      </c>
      <c r="E186" s="38"/>
      <c r="F186" s="29">
        <v>9.847880118E9</v>
      </c>
      <c r="G186" s="38"/>
      <c r="H186" s="33" t="s">
        <v>482</v>
      </c>
      <c r="I186" s="33">
        <v>2500.0</v>
      </c>
    </row>
    <row r="187" ht="22.5" hidden="1" customHeight="1">
      <c r="A187" s="35">
        <v>46234.78482221065</v>
      </c>
      <c r="B187" s="36">
        <v>46083.0</v>
      </c>
      <c r="C187" s="33" t="s">
        <v>64</v>
      </c>
      <c r="D187" s="33" t="s">
        <v>483</v>
      </c>
      <c r="E187" s="38"/>
      <c r="F187" s="33">
        <v>9.961460114E9</v>
      </c>
      <c r="G187" s="38"/>
      <c r="H187" s="33" t="s">
        <v>484</v>
      </c>
      <c r="I187" s="33">
        <v>8800.0</v>
      </c>
    </row>
    <row r="188" ht="22.5" hidden="1" customHeight="1">
      <c r="A188" s="35">
        <v>46234.78547415509</v>
      </c>
      <c r="B188" s="36">
        <v>46084.0</v>
      </c>
      <c r="C188" s="33" t="s">
        <v>53</v>
      </c>
      <c r="D188" s="31" t="s">
        <v>54</v>
      </c>
      <c r="E188" s="33" t="s">
        <v>277</v>
      </c>
      <c r="F188" s="29">
        <v>9.995598693E9</v>
      </c>
      <c r="G188" s="38"/>
      <c r="H188" s="33" t="s">
        <v>485</v>
      </c>
      <c r="I188" s="33">
        <v>12500.0</v>
      </c>
    </row>
    <row r="189" ht="22.5" hidden="1" customHeight="1">
      <c r="A189" s="35">
        <v>46234.785947488424</v>
      </c>
      <c r="B189" s="36">
        <v>46084.0</v>
      </c>
      <c r="C189" s="33" t="s">
        <v>50</v>
      </c>
      <c r="D189" s="31" t="s">
        <v>59</v>
      </c>
      <c r="E189" s="38"/>
      <c r="F189" s="29">
        <v>8.606781572E9</v>
      </c>
      <c r="G189" s="38"/>
      <c r="H189" s="33" t="s">
        <v>486</v>
      </c>
      <c r="I189" s="33">
        <v>2000.0</v>
      </c>
    </row>
    <row r="190" ht="22.5" hidden="1" customHeight="1">
      <c r="A190" s="35">
        <v>46234.786953993054</v>
      </c>
      <c r="B190" s="36">
        <v>46087.0</v>
      </c>
      <c r="C190" s="33" t="s">
        <v>50</v>
      </c>
      <c r="D190" s="33" t="s">
        <v>457</v>
      </c>
      <c r="E190" s="38"/>
      <c r="F190" s="33">
        <v>9.961975336E9</v>
      </c>
      <c r="G190" s="38"/>
      <c r="H190" s="33" t="s">
        <v>487</v>
      </c>
      <c r="I190" s="33">
        <v>3000.0</v>
      </c>
    </row>
    <row r="191" ht="22.5" hidden="1" customHeight="1">
      <c r="A191" s="35">
        <v>46234.86099663195</v>
      </c>
      <c r="B191" s="36">
        <v>46088.0</v>
      </c>
      <c r="C191" s="33" t="s">
        <v>50</v>
      </c>
      <c r="D191" s="33" t="s">
        <v>68</v>
      </c>
      <c r="E191" s="38"/>
      <c r="F191" s="29">
        <v>9.847880118E9</v>
      </c>
      <c r="G191" s="38"/>
      <c r="H191" s="33" t="s">
        <v>488</v>
      </c>
      <c r="I191" s="33">
        <v>2000.0</v>
      </c>
    </row>
    <row r="192" ht="22.5" hidden="1" customHeight="1">
      <c r="A192" s="35">
        <v>46234.86159564815</v>
      </c>
      <c r="B192" s="36">
        <v>46088.0</v>
      </c>
      <c r="C192" s="33" t="s">
        <v>50</v>
      </c>
      <c r="D192" s="33" t="s">
        <v>489</v>
      </c>
      <c r="E192" s="38"/>
      <c r="F192" s="33" t="s">
        <v>490</v>
      </c>
      <c r="G192" s="38"/>
      <c r="H192" s="33" t="s">
        <v>491</v>
      </c>
      <c r="I192" s="33">
        <v>30000.0</v>
      </c>
    </row>
    <row r="193" ht="22.5" hidden="1" customHeight="1">
      <c r="A193" s="35">
        <v>46234.8645258912</v>
      </c>
      <c r="B193" s="36">
        <v>46088.0</v>
      </c>
      <c r="C193" s="33" t="s">
        <v>53</v>
      </c>
      <c r="D193" s="33" t="s">
        <v>492</v>
      </c>
      <c r="E193" s="38"/>
      <c r="F193" s="33">
        <v>9.745696936E9</v>
      </c>
      <c r="G193" s="38"/>
      <c r="H193" s="33" t="s">
        <v>493</v>
      </c>
      <c r="I193" s="33">
        <v>15000.0</v>
      </c>
    </row>
    <row r="194" ht="22.5" hidden="1" customHeight="1">
      <c r="A194" s="35">
        <v>46234.869203599534</v>
      </c>
      <c r="B194" s="36">
        <v>46089.0</v>
      </c>
      <c r="C194" s="33" t="s">
        <v>50</v>
      </c>
      <c r="D194" s="33" t="s">
        <v>494</v>
      </c>
      <c r="E194" s="38"/>
      <c r="F194" s="33">
        <v>9.747742417E9</v>
      </c>
      <c r="G194" s="38"/>
      <c r="H194" s="33" t="s">
        <v>495</v>
      </c>
      <c r="I194" s="33">
        <v>5000.0</v>
      </c>
    </row>
    <row r="195" ht="22.5" hidden="1" customHeight="1">
      <c r="A195" s="35">
        <v>46234.86981758101</v>
      </c>
      <c r="B195" s="36">
        <v>46090.0</v>
      </c>
      <c r="C195" s="33" t="s">
        <v>50</v>
      </c>
      <c r="D195" s="33" t="s">
        <v>496</v>
      </c>
      <c r="E195" s="38"/>
      <c r="F195" s="33" t="s">
        <v>497</v>
      </c>
      <c r="G195" s="38"/>
      <c r="H195" s="33" t="s">
        <v>498</v>
      </c>
      <c r="I195" s="33">
        <v>30000.0</v>
      </c>
    </row>
    <row r="196" ht="22.5" hidden="1" customHeight="1">
      <c r="A196" s="35">
        <v>46234.87034094907</v>
      </c>
      <c r="B196" s="36">
        <v>46091.0</v>
      </c>
      <c r="C196" s="33" t="s">
        <v>50</v>
      </c>
      <c r="D196" s="31" t="s">
        <v>204</v>
      </c>
      <c r="E196" s="38"/>
      <c r="F196" s="29">
        <v>9.7430216158E10</v>
      </c>
      <c r="G196" s="38"/>
      <c r="H196" s="33" t="s">
        <v>499</v>
      </c>
      <c r="I196" s="33">
        <v>2000.0</v>
      </c>
    </row>
    <row r="197" ht="22.5" hidden="1" customHeight="1">
      <c r="A197" s="35">
        <v>46234.87080633102</v>
      </c>
      <c r="B197" s="36">
        <v>46091.0</v>
      </c>
      <c r="C197" s="33" t="s">
        <v>53</v>
      </c>
      <c r="D197" s="33" t="s">
        <v>500</v>
      </c>
      <c r="E197" s="38"/>
      <c r="F197" s="33">
        <v>9.544728416E9</v>
      </c>
      <c r="G197" s="38"/>
      <c r="H197" s="33" t="s">
        <v>501</v>
      </c>
      <c r="I197" s="33">
        <v>10000.0</v>
      </c>
    </row>
    <row r="198" ht="22.5" hidden="1" customHeight="1">
      <c r="A198" s="35">
        <v>46234.871484143514</v>
      </c>
      <c r="B198" s="36">
        <v>46092.0</v>
      </c>
      <c r="C198" s="33" t="s">
        <v>53</v>
      </c>
      <c r="D198" s="33" t="s">
        <v>502</v>
      </c>
      <c r="E198" s="38"/>
      <c r="F198" s="33">
        <v>7.012457094E9</v>
      </c>
      <c r="G198" s="38"/>
      <c r="H198" s="33" t="s">
        <v>503</v>
      </c>
      <c r="I198" s="33">
        <v>30000.0</v>
      </c>
    </row>
    <row r="199" ht="22.5" hidden="1" customHeight="1">
      <c r="A199" s="35">
        <v>46234.87196888889</v>
      </c>
      <c r="B199" s="36">
        <v>46093.0</v>
      </c>
      <c r="C199" s="33" t="s">
        <v>53</v>
      </c>
      <c r="D199" s="33" t="s">
        <v>504</v>
      </c>
      <c r="E199" s="38"/>
      <c r="F199" s="33">
        <v>9.539188774E9</v>
      </c>
      <c r="G199" s="38"/>
      <c r="H199" s="33" t="s">
        <v>505</v>
      </c>
      <c r="I199" s="33">
        <v>20000.0</v>
      </c>
    </row>
    <row r="200" ht="22.5" hidden="1" customHeight="1">
      <c r="A200" s="35">
        <v>46234.8727027662</v>
      </c>
      <c r="B200" s="36">
        <v>46093.0</v>
      </c>
      <c r="C200" s="33" t="s">
        <v>53</v>
      </c>
      <c r="D200" s="33" t="s">
        <v>506</v>
      </c>
      <c r="E200" s="38"/>
      <c r="F200" s="33">
        <v>9.745759562E9</v>
      </c>
      <c r="G200" s="38"/>
      <c r="H200" s="33" t="s">
        <v>507</v>
      </c>
      <c r="I200" s="33">
        <v>15000.0</v>
      </c>
    </row>
    <row r="201" ht="22.5" hidden="1" customHeight="1">
      <c r="A201" s="35">
        <v>46234.873203518524</v>
      </c>
      <c r="B201" s="36">
        <v>46093.0</v>
      </c>
      <c r="C201" s="33" t="s">
        <v>53</v>
      </c>
      <c r="D201" s="33" t="s">
        <v>450</v>
      </c>
      <c r="E201" s="38"/>
      <c r="F201" s="33" t="s">
        <v>508</v>
      </c>
      <c r="G201" s="38"/>
      <c r="H201" s="33" t="s">
        <v>509</v>
      </c>
      <c r="I201" s="33">
        <v>2500.0</v>
      </c>
    </row>
    <row r="202" ht="22.5" hidden="1" customHeight="1">
      <c r="A202" s="35">
        <v>46234.87366684028</v>
      </c>
      <c r="B202" s="36">
        <v>46093.0</v>
      </c>
      <c r="C202" s="33" t="s">
        <v>50</v>
      </c>
      <c r="D202" s="33" t="s">
        <v>510</v>
      </c>
      <c r="E202" s="38"/>
      <c r="F202" s="33" t="s">
        <v>511</v>
      </c>
      <c r="G202" s="38"/>
      <c r="H202" s="33" t="s">
        <v>512</v>
      </c>
      <c r="I202" s="33">
        <v>2500.0</v>
      </c>
    </row>
    <row r="203" ht="22.5" hidden="1" customHeight="1">
      <c r="A203" s="35">
        <v>46234.8939946875</v>
      </c>
      <c r="B203" s="36">
        <v>46094.0</v>
      </c>
      <c r="C203" s="33" t="s">
        <v>53</v>
      </c>
      <c r="D203" s="31" t="s">
        <v>204</v>
      </c>
      <c r="E203" s="38"/>
      <c r="F203" s="29">
        <v>9.7430216158E10</v>
      </c>
      <c r="G203" s="38"/>
      <c r="H203" s="33" t="s">
        <v>513</v>
      </c>
      <c r="I203" s="33">
        <v>2000.0</v>
      </c>
    </row>
    <row r="204" ht="22.5" hidden="1" customHeight="1">
      <c r="A204" s="35">
        <v>46234.894588807874</v>
      </c>
      <c r="B204" s="36">
        <v>46094.0</v>
      </c>
      <c r="C204" s="33" t="s">
        <v>50</v>
      </c>
      <c r="D204" s="33" t="s">
        <v>514</v>
      </c>
      <c r="E204" s="38"/>
      <c r="F204" s="33">
        <v>9.446775865E9</v>
      </c>
      <c r="G204" s="38"/>
      <c r="H204" s="33" t="s">
        <v>515</v>
      </c>
      <c r="I204" s="33">
        <v>10000.0</v>
      </c>
    </row>
    <row r="205" ht="22.5" hidden="1" customHeight="1">
      <c r="A205" s="35">
        <v>46234.89514721065</v>
      </c>
      <c r="B205" s="36">
        <v>46094.0</v>
      </c>
      <c r="C205" s="33" t="s">
        <v>50</v>
      </c>
      <c r="D205" s="33" t="s">
        <v>516</v>
      </c>
      <c r="E205" s="38"/>
      <c r="F205" s="33">
        <v>9.946242324E9</v>
      </c>
      <c r="G205" s="38"/>
      <c r="H205" s="33" t="s">
        <v>517</v>
      </c>
      <c r="I205" s="33">
        <v>30000.0</v>
      </c>
    </row>
    <row r="206" ht="22.5" hidden="1" customHeight="1">
      <c r="A206" s="35">
        <v>46234.89562401621</v>
      </c>
      <c r="B206" s="36">
        <v>46094.0</v>
      </c>
      <c r="C206" s="33" t="s">
        <v>50</v>
      </c>
      <c r="D206" s="33" t="s">
        <v>518</v>
      </c>
      <c r="E206" s="38"/>
      <c r="F206" s="33">
        <v>6.238323239E9</v>
      </c>
      <c r="G206" s="38"/>
      <c r="H206" s="33" t="s">
        <v>519</v>
      </c>
      <c r="I206" s="33">
        <v>2000.0</v>
      </c>
    </row>
    <row r="207" ht="22.5" hidden="1" customHeight="1">
      <c r="A207" s="35">
        <v>46234.896428506945</v>
      </c>
      <c r="B207" s="36">
        <v>46095.0</v>
      </c>
      <c r="C207" s="33" t="s">
        <v>53</v>
      </c>
      <c r="D207" s="31" t="s">
        <v>204</v>
      </c>
      <c r="E207" s="38"/>
      <c r="F207" s="29">
        <v>9.7430216158E10</v>
      </c>
      <c r="G207" s="38"/>
      <c r="H207" s="33" t="s">
        <v>520</v>
      </c>
      <c r="I207" s="33">
        <v>2000.0</v>
      </c>
    </row>
    <row r="208" ht="22.5" hidden="1" customHeight="1">
      <c r="A208" s="35">
        <v>46234.89688878472</v>
      </c>
      <c r="B208" s="36">
        <v>46095.0</v>
      </c>
      <c r="C208" s="33" t="s">
        <v>53</v>
      </c>
      <c r="D208" s="33" t="s">
        <v>521</v>
      </c>
      <c r="E208" s="38"/>
      <c r="F208" s="33" t="s">
        <v>522</v>
      </c>
      <c r="G208" s="38"/>
      <c r="H208" s="33" t="s">
        <v>523</v>
      </c>
      <c r="I208" s="33">
        <v>27000.0</v>
      </c>
    </row>
    <row r="209" ht="22.5" hidden="1" customHeight="1">
      <c r="A209" s="35">
        <v>46234.89754313657</v>
      </c>
      <c r="B209" s="36">
        <v>46095.0</v>
      </c>
      <c r="C209" s="33" t="s">
        <v>53</v>
      </c>
      <c r="D209" s="33" t="s">
        <v>524</v>
      </c>
      <c r="E209" s="38"/>
      <c r="F209" s="33" t="s">
        <v>525</v>
      </c>
      <c r="G209" s="38"/>
      <c r="H209" s="33" t="s">
        <v>526</v>
      </c>
      <c r="I209" s="33">
        <v>2500.0</v>
      </c>
    </row>
    <row r="210" ht="22.5" hidden="1" customHeight="1">
      <c r="A210" s="35">
        <v>46234.898109814814</v>
      </c>
      <c r="B210" s="36">
        <v>46095.0</v>
      </c>
      <c r="C210" s="33" t="s">
        <v>53</v>
      </c>
      <c r="D210" s="33" t="s">
        <v>524</v>
      </c>
      <c r="E210" s="38"/>
      <c r="F210" s="33" t="s">
        <v>525</v>
      </c>
      <c r="G210" s="38"/>
      <c r="H210" s="33" t="s">
        <v>527</v>
      </c>
      <c r="I210" s="33">
        <v>2500.0</v>
      </c>
    </row>
    <row r="211" ht="22.5" hidden="1" customHeight="1">
      <c r="A211" s="35">
        <v>46234.90071865741</v>
      </c>
      <c r="B211" s="36">
        <v>46095.0</v>
      </c>
      <c r="C211" s="33" t="s">
        <v>50</v>
      </c>
      <c r="D211" s="33" t="s">
        <v>528</v>
      </c>
      <c r="E211" s="38"/>
      <c r="F211" s="33" t="s">
        <v>529</v>
      </c>
      <c r="G211" s="38"/>
      <c r="H211" s="33" t="s">
        <v>530</v>
      </c>
      <c r="I211" s="33">
        <v>20000.0</v>
      </c>
    </row>
    <row r="212" ht="22.5" hidden="1" customHeight="1">
      <c r="A212" s="35">
        <v>46234.902113159726</v>
      </c>
      <c r="B212" s="36">
        <v>46096.0</v>
      </c>
      <c r="C212" s="33" t="s">
        <v>53</v>
      </c>
      <c r="D212" s="31" t="s">
        <v>204</v>
      </c>
      <c r="E212" s="38"/>
      <c r="F212" s="29">
        <v>9.7430216158E10</v>
      </c>
      <c r="G212" s="38"/>
      <c r="H212" s="33" t="s">
        <v>531</v>
      </c>
      <c r="I212" s="33">
        <v>2000.0</v>
      </c>
    </row>
    <row r="213" ht="22.5" hidden="1" customHeight="1">
      <c r="A213" s="35">
        <v>46234.903540983796</v>
      </c>
      <c r="B213" s="36">
        <v>46096.0</v>
      </c>
      <c r="C213" s="33" t="s">
        <v>53</v>
      </c>
      <c r="D213" s="33" t="s">
        <v>532</v>
      </c>
      <c r="E213" s="38"/>
      <c r="F213" s="33">
        <v>9.71506858408E11</v>
      </c>
      <c r="G213" s="38"/>
      <c r="H213" s="33" t="s">
        <v>533</v>
      </c>
      <c r="I213" s="33">
        <v>29500.0</v>
      </c>
    </row>
    <row r="214" ht="22.5" hidden="1" customHeight="1">
      <c r="A214" s="35">
        <v>46234.90404366898</v>
      </c>
      <c r="B214" s="36">
        <v>46096.0</v>
      </c>
      <c r="C214" s="33" t="s">
        <v>53</v>
      </c>
      <c r="D214" s="33" t="s">
        <v>534</v>
      </c>
      <c r="E214" s="38"/>
      <c r="F214" s="33">
        <v>9.71506858408E11</v>
      </c>
      <c r="G214" s="38"/>
      <c r="H214" s="33" t="s">
        <v>535</v>
      </c>
      <c r="I214" s="33">
        <v>29500.0</v>
      </c>
    </row>
    <row r="215" ht="22.5" hidden="1" customHeight="1">
      <c r="A215" s="35">
        <v>46234.904646828705</v>
      </c>
      <c r="B215" s="36">
        <v>46097.0</v>
      </c>
      <c r="C215" s="33" t="s">
        <v>53</v>
      </c>
      <c r="D215" s="31" t="s">
        <v>204</v>
      </c>
      <c r="E215" s="38"/>
      <c r="F215" s="29">
        <v>9.7430216158E10</v>
      </c>
      <c r="G215" s="38"/>
      <c r="H215" s="33" t="s">
        <v>536</v>
      </c>
      <c r="I215" s="33">
        <v>3000.0</v>
      </c>
    </row>
    <row r="216" ht="22.5" hidden="1" customHeight="1">
      <c r="A216" s="35">
        <v>46234.905073182876</v>
      </c>
      <c r="B216" s="36">
        <v>46097.0</v>
      </c>
      <c r="C216" s="33" t="s">
        <v>53</v>
      </c>
      <c r="D216" s="33" t="s">
        <v>537</v>
      </c>
      <c r="E216" s="38"/>
      <c r="F216" s="33">
        <v>9.605578559E9</v>
      </c>
      <c r="G216" s="38"/>
      <c r="H216" s="33" t="s">
        <v>538</v>
      </c>
      <c r="I216" s="33">
        <v>30000.0</v>
      </c>
    </row>
    <row r="217" ht="22.5" hidden="1" customHeight="1">
      <c r="A217" s="35">
        <v>46234.90563677083</v>
      </c>
      <c r="B217" s="36">
        <v>46097.0</v>
      </c>
      <c r="C217" s="33" t="s">
        <v>50</v>
      </c>
      <c r="D217" s="33" t="s">
        <v>344</v>
      </c>
      <c r="E217" s="38"/>
      <c r="F217" s="33">
        <v>9.048515649E9</v>
      </c>
      <c r="G217" s="38"/>
      <c r="H217" s="33" t="s">
        <v>539</v>
      </c>
      <c r="I217" s="33">
        <v>2500.0</v>
      </c>
    </row>
    <row r="218" ht="22.5" hidden="1" customHeight="1">
      <c r="A218" s="35">
        <v>46234.906094618054</v>
      </c>
      <c r="B218" s="36">
        <v>46097.0</v>
      </c>
      <c r="C218" s="33" t="s">
        <v>50</v>
      </c>
      <c r="D218" s="33" t="s">
        <v>540</v>
      </c>
      <c r="E218" s="38"/>
      <c r="F218" s="33">
        <v>9.048123027E9</v>
      </c>
      <c r="G218" s="38"/>
      <c r="H218" s="33" t="s">
        <v>541</v>
      </c>
      <c r="I218" s="33">
        <v>25000.0</v>
      </c>
    </row>
    <row r="219" ht="22.5" hidden="1" customHeight="1">
      <c r="A219" s="35">
        <v>46234.90657614583</v>
      </c>
      <c r="B219" s="36">
        <v>46097.0</v>
      </c>
      <c r="C219" s="33" t="s">
        <v>50</v>
      </c>
      <c r="D219" s="33" t="s">
        <v>542</v>
      </c>
      <c r="E219" s="38"/>
      <c r="F219" s="33" t="s">
        <v>543</v>
      </c>
      <c r="G219" s="38"/>
      <c r="H219" s="33" t="s">
        <v>544</v>
      </c>
      <c r="I219" s="33">
        <v>33431.0</v>
      </c>
    </row>
    <row r="220" ht="22.5" hidden="1" customHeight="1">
      <c r="A220" s="35">
        <v>46234.907032222225</v>
      </c>
      <c r="B220" s="36">
        <v>46098.0</v>
      </c>
      <c r="C220" s="33" t="s">
        <v>53</v>
      </c>
      <c r="D220" s="31" t="s">
        <v>204</v>
      </c>
      <c r="E220" s="38"/>
      <c r="F220" s="29">
        <v>9.7430216158E10</v>
      </c>
      <c r="G220" s="38"/>
      <c r="H220" s="33" t="s">
        <v>545</v>
      </c>
      <c r="I220" s="33">
        <v>2000.0</v>
      </c>
    </row>
    <row r="221" ht="22.5" hidden="1" customHeight="1">
      <c r="A221" s="35">
        <v>46234.907579074075</v>
      </c>
      <c r="B221" s="36">
        <v>46098.0</v>
      </c>
      <c r="C221" s="33" t="s">
        <v>53</v>
      </c>
      <c r="D221" s="33" t="s">
        <v>546</v>
      </c>
      <c r="E221" s="38"/>
      <c r="F221" s="33" t="s">
        <v>547</v>
      </c>
      <c r="G221" s="38"/>
      <c r="H221" s="33" t="s">
        <v>548</v>
      </c>
      <c r="I221" s="33">
        <v>10000.0</v>
      </c>
    </row>
    <row r="222" ht="22.5" hidden="1" customHeight="1">
      <c r="A222" s="35">
        <v>46234.90883869213</v>
      </c>
      <c r="B222" s="36">
        <v>46098.0</v>
      </c>
      <c r="C222" s="33" t="s">
        <v>53</v>
      </c>
      <c r="D222" s="31" t="s">
        <v>204</v>
      </c>
      <c r="E222" s="38"/>
      <c r="F222" s="29">
        <v>9.7430216158E10</v>
      </c>
      <c r="G222" s="38"/>
      <c r="H222" s="33" t="s">
        <v>549</v>
      </c>
      <c r="I222" s="33">
        <v>2000.0</v>
      </c>
    </row>
    <row r="223" ht="22.5" hidden="1" customHeight="1">
      <c r="A223" s="35">
        <v>46234.90936690972</v>
      </c>
      <c r="B223" s="36">
        <v>46098.0</v>
      </c>
      <c r="C223" s="33" t="s">
        <v>53</v>
      </c>
      <c r="D223" s="33" t="s">
        <v>550</v>
      </c>
      <c r="E223" s="38"/>
      <c r="F223" s="33">
        <v>9.846338367E9</v>
      </c>
      <c r="G223" s="38"/>
      <c r="H223" s="33" t="s">
        <v>551</v>
      </c>
      <c r="I223" s="33">
        <v>4000.0</v>
      </c>
    </row>
    <row r="224" ht="22.5" hidden="1" customHeight="1">
      <c r="A224" s="35">
        <v>46234.909776967594</v>
      </c>
      <c r="B224" s="36">
        <v>46143.0</v>
      </c>
      <c r="C224" s="33" t="s">
        <v>50</v>
      </c>
      <c r="D224" s="33" t="s">
        <v>68</v>
      </c>
      <c r="E224" s="38"/>
      <c r="F224" s="29">
        <v>9.847880118E9</v>
      </c>
      <c r="G224" s="38"/>
      <c r="H224" s="33" t="s">
        <v>552</v>
      </c>
      <c r="I224" s="51">
        <v>2500.0</v>
      </c>
    </row>
    <row r="225" ht="22.5" hidden="1" customHeight="1">
      <c r="A225" s="35">
        <v>46234.90989246528</v>
      </c>
      <c r="B225" s="36">
        <v>46098.0</v>
      </c>
      <c r="C225" s="33" t="s">
        <v>50</v>
      </c>
      <c r="D225" s="33" t="s">
        <v>553</v>
      </c>
      <c r="E225" s="38"/>
      <c r="F225" s="33">
        <v>9.5444444114E10</v>
      </c>
      <c r="G225" s="38"/>
      <c r="H225" s="33" t="s">
        <v>554</v>
      </c>
      <c r="I225" s="33">
        <v>30000.0</v>
      </c>
    </row>
    <row r="226" ht="22.5" hidden="1" customHeight="1">
      <c r="A226" s="35">
        <v>46234.910312569446</v>
      </c>
      <c r="B226" s="36">
        <v>46098.0</v>
      </c>
      <c r="C226" s="33" t="s">
        <v>50</v>
      </c>
      <c r="D226" s="33" t="s">
        <v>153</v>
      </c>
      <c r="E226" s="38"/>
      <c r="F226" s="33" t="s">
        <v>555</v>
      </c>
      <c r="G226" s="38"/>
      <c r="H226" s="33" t="s">
        <v>556</v>
      </c>
      <c r="I226" s="33">
        <v>17000.0</v>
      </c>
    </row>
    <row r="227" ht="22.5" hidden="1" customHeight="1">
      <c r="A227" s="35">
        <v>46234.91073793982</v>
      </c>
      <c r="B227" s="36">
        <v>46098.0</v>
      </c>
      <c r="C227" s="33" t="s">
        <v>50</v>
      </c>
      <c r="D227" s="33" t="s">
        <v>153</v>
      </c>
      <c r="E227" s="38"/>
      <c r="F227" s="33" t="s">
        <v>557</v>
      </c>
      <c r="G227" s="38"/>
      <c r="H227" s="33" t="s">
        <v>558</v>
      </c>
      <c r="I227" s="33">
        <v>12500.0</v>
      </c>
    </row>
    <row r="228" ht="22.5" hidden="1" customHeight="1">
      <c r="A228" s="35">
        <v>46234.91101976852</v>
      </c>
      <c r="B228" s="36">
        <v>46098.0</v>
      </c>
      <c r="C228" s="33" t="s">
        <v>50</v>
      </c>
      <c r="D228" s="33" t="s">
        <v>153</v>
      </c>
      <c r="E228" s="38"/>
      <c r="F228" s="33" t="s">
        <v>557</v>
      </c>
      <c r="G228" s="38"/>
      <c r="H228" s="33" t="s">
        <v>559</v>
      </c>
      <c r="I228" s="33">
        <v>500.0</v>
      </c>
    </row>
    <row r="229" ht="22.5" hidden="1" customHeight="1">
      <c r="A229" s="35">
        <v>46234.911553530095</v>
      </c>
      <c r="B229" s="36">
        <v>46098.0</v>
      </c>
      <c r="C229" s="33" t="s">
        <v>248</v>
      </c>
      <c r="D229" s="33" t="s">
        <v>560</v>
      </c>
      <c r="E229" s="38"/>
      <c r="F229" s="33">
        <v>9.744920444E9</v>
      </c>
      <c r="G229" s="38"/>
      <c r="H229" s="33" t="s">
        <v>561</v>
      </c>
      <c r="I229" s="33">
        <v>30000.0</v>
      </c>
    </row>
    <row r="230" ht="22.5" hidden="1" customHeight="1">
      <c r="A230" s="35">
        <v>46234.913796215274</v>
      </c>
      <c r="B230" s="36">
        <v>46098.0</v>
      </c>
      <c r="C230" s="33" t="s">
        <v>64</v>
      </c>
      <c r="D230" s="33" t="s">
        <v>562</v>
      </c>
      <c r="E230" s="38"/>
      <c r="F230" s="33">
        <v>9.847090908E9</v>
      </c>
      <c r="G230" s="38"/>
      <c r="H230" s="33" t="s">
        <v>563</v>
      </c>
      <c r="I230" s="33">
        <v>45000.0</v>
      </c>
    </row>
    <row r="231" ht="22.5" hidden="1" customHeight="1">
      <c r="A231" s="35">
        <v>46234.91425256945</v>
      </c>
      <c r="B231" s="36">
        <v>46099.0</v>
      </c>
      <c r="C231" s="33" t="s">
        <v>50</v>
      </c>
      <c r="D231" s="33" t="s">
        <v>480</v>
      </c>
      <c r="E231" s="38"/>
      <c r="F231" s="33" t="s">
        <v>564</v>
      </c>
      <c r="G231" s="38"/>
      <c r="H231" s="33" t="s">
        <v>565</v>
      </c>
      <c r="I231" s="33">
        <v>2500.0</v>
      </c>
    </row>
    <row r="232" ht="22.5" hidden="1" customHeight="1">
      <c r="A232" s="35">
        <v>46234.91470202546</v>
      </c>
      <c r="B232" s="36">
        <v>46099.0</v>
      </c>
      <c r="C232" s="33" t="s">
        <v>50</v>
      </c>
      <c r="D232" s="33" t="s">
        <v>566</v>
      </c>
      <c r="E232" s="38"/>
      <c r="F232" s="33">
        <v>9.048498586E9</v>
      </c>
      <c r="G232" s="38"/>
      <c r="H232" s="33" t="s">
        <v>567</v>
      </c>
      <c r="I232" s="33">
        <v>1500.0</v>
      </c>
    </row>
    <row r="233" ht="22.5" hidden="1" customHeight="1">
      <c r="A233" s="35">
        <v>46234.915220787036</v>
      </c>
      <c r="B233" s="36">
        <v>46099.0</v>
      </c>
      <c r="C233" s="33" t="s">
        <v>50</v>
      </c>
      <c r="D233" s="33" t="s">
        <v>566</v>
      </c>
      <c r="E233" s="38"/>
      <c r="F233" s="33">
        <v>9.048498586E9</v>
      </c>
      <c r="G233" s="38"/>
      <c r="H233" s="33" t="s">
        <v>568</v>
      </c>
      <c r="I233" s="33">
        <v>13500.0</v>
      </c>
    </row>
    <row r="234" ht="22.5" customHeight="1">
      <c r="A234" s="35">
        <v>46234.91566748843</v>
      </c>
      <c r="B234" s="36">
        <v>46099.0</v>
      </c>
      <c r="C234" s="33" t="s">
        <v>50</v>
      </c>
      <c r="D234" s="33" t="s">
        <v>569</v>
      </c>
      <c r="E234" s="38"/>
      <c r="F234" s="33">
        <v>9.544444114E9</v>
      </c>
      <c r="G234" s="38"/>
      <c r="H234" s="33" t="s">
        <v>570</v>
      </c>
      <c r="I234" s="33">
        <v>30000.0</v>
      </c>
    </row>
    <row r="235" ht="22.5" hidden="1" customHeight="1">
      <c r="A235" s="35">
        <v>46234.9172434375</v>
      </c>
      <c r="B235" s="36">
        <v>46099.0</v>
      </c>
      <c r="C235" s="33" t="s">
        <v>50</v>
      </c>
      <c r="D235" s="33" t="s">
        <v>341</v>
      </c>
      <c r="E235" s="38"/>
      <c r="F235" s="33" t="s">
        <v>571</v>
      </c>
      <c r="G235" s="38"/>
      <c r="H235" s="33" t="s">
        <v>572</v>
      </c>
      <c r="I235" s="33">
        <v>2500.0</v>
      </c>
    </row>
    <row r="236" ht="22.5" hidden="1" customHeight="1">
      <c r="A236" s="35">
        <v>46234.91788635417</v>
      </c>
      <c r="B236" s="36">
        <v>46099.0</v>
      </c>
      <c r="C236" s="33" t="s">
        <v>50</v>
      </c>
      <c r="D236" s="33" t="s">
        <v>573</v>
      </c>
      <c r="E236" s="38"/>
      <c r="F236" s="33">
        <v>9.400490469E9</v>
      </c>
      <c r="G236" s="38"/>
      <c r="H236" s="33" t="s">
        <v>574</v>
      </c>
      <c r="I236" s="33">
        <v>16870.0</v>
      </c>
    </row>
    <row r="237" ht="22.5" hidden="1" customHeight="1">
      <c r="A237" s="35">
        <v>46234.918434618055</v>
      </c>
      <c r="B237" s="36">
        <v>46099.0</v>
      </c>
      <c r="C237" s="33" t="s">
        <v>53</v>
      </c>
      <c r="D237" s="33" t="s">
        <v>575</v>
      </c>
      <c r="E237" s="38"/>
      <c r="F237" s="33" t="s">
        <v>576</v>
      </c>
      <c r="G237" s="38"/>
      <c r="H237" s="33" t="s">
        <v>577</v>
      </c>
      <c r="I237" s="33">
        <v>85000.0</v>
      </c>
    </row>
    <row r="238" ht="22.5" hidden="1" customHeight="1">
      <c r="A238" s="35">
        <v>46234.91880835648</v>
      </c>
      <c r="B238" s="36">
        <v>46100.0</v>
      </c>
      <c r="C238" s="33" t="s">
        <v>53</v>
      </c>
      <c r="D238" s="31" t="s">
        <v>204</v>
      </c>
      <c r="E238" s="38"/>
      <c r="F238" s="29">
        <v>9.7430216158E10</v>
      </c>
      <c r="G238" s="38"/>
      <c r="H238" s="33" t="s">
        <v>578</v>
      </c>
      <c r="I238" s="33">
        <v>1500.0</v>
      </c>
    </row>
    <row r="239" ht="22.5" hidden="1" customHeight="1">
      <c r="A239" s="35">
        <v>46234.91950857639</v>
      </c>
      <c r="B239" s="36">
        <v>46100.0</v>
      </c>
      <c r="C239" s="33" t="s">
        <v>50</v>
      </c>
      <c r="D239" s="33" t="s">
        <v>579</v>
      </c>
      <c r="E239" s="38"/>
      <c r="F239" s="33">
        <v>9.54444114E8</v>
      </c>
      <c r="G239" s="38"/>
      <c r="H239" s="33" t="s">
        <v>580</v>
      </c>
      <c r="I239" s="33">
        <v>30000.0</v>
      </c>
    </row>
    <row r="240" ht="22.5" hidden="1" customHeight="1">
      <c r="A240" s="35">
        <v>46234.91993422454</v>
      </c>
      <c r="B240" s="36">
        <v>46103.0</v>
      </c>
      <c r="C240" s="33" t="s">
        <v>50</v>
      </c>
      <c r="D240" s="33" t="s">
        <v>349</v>
      </c>
      <c r="E240" s="38"/>
      <c r="F240" s="33">
        <v>6.235536872E9</v>
      </c>
      <c r="G240" s="38"/>
      <c r="H240" s="33" t="s">
        <v>581</v>
      </c>
      <c r="I240" s="33">
        <v>200.0</v>
      </c>
    </row>
    <row r="241" ht="22.5" hidden="1" customHeight="1">
      <c r="A241" s="35">
        <v>46234.9202646875</v>
      </c>
      <c r="B241" s="36">
        <v>46103.0</v>
      </c>
      <c r="C241" s="33" t="s">
        <v>50</v>
      </c>
      <c r="D241" s="33" t="s">
        <v>349</v>
      </c>
      <c r="E241" s="38"/>
      <c r="F241" s="33">
        <v>6.235536872E9</v>
      </c>
      <c r="G241" s="38"/>
      <c r="H241" s="33" t="s">
        <v>582</v>
      </c>
      <c r="I241" s="33">
        <v>2300.0</v>
      </c>
    </row>
    <row r="242" ht="22.5" hidden="1" customHeight="1">
      <c r="A242" s="35">
        <v>46234.92070131944</v>
      </c>
      <c r="B242" s="36">
        <v>46107.0</v>
      </c>
      <c r="C242" s="33" t="s">
        <v>53</v>
      </c>
      <c r="D242" s="33" t="s">
        <v>583</v>
      </c>
      <c r="E242" s="38"/>
      <c r="F242" s="33" t="s">
        <v>584</v>
      </c>
      <c r="G242" s="38"/>
      <c r="H242" s="33" t="s">
        <v>585</v>
      </c>
      <c r="I242" s="33">
        <v>5000.0</v>
      </c>
    </row>
    <row r="243" ht="22.5" hidden="1" customHeight="1">
      <c r="A243" s="35">
        <v>46234.922634131945</v>
      </c>
      <c r="B243" s="36">
        <v>46144.0</v>
      </c>
      <c r="C243" s="33" t="s">
        <v>53</v>
      </c>
      <c r="D243" s="33" t="s">
        <v>586</v>
      </c>
      <c r="E243" s="38"/>
      <c r="F243" s="33">
        <v>7.02582773E9</v>
      </c>
      <c r="G243" s="38"/>
      <c r="H243" s="33" t="s">
        <v>587</v>
      </c>
      <c r="I243" s="33">
        <v>10000.0</v>
      </c>
    </row>
    <row r="244" ht="22.5" hidden="1" customHeight="1">
      <c r="A244" s="35">
        <v>46234.92385202546</v>
      </c>
      <c r="B244" s="36">
        <v>46145.0</v>
      </c>
      <c r="C244" s="33" t="s">
        <v>50</v>
      </c>
      <c r="D244" s="33" t="s">
        <v>588</v>
      </c>
      <c r="E244" s="38"/>
      <c r="F244" s="33" t="s">
        <v>589</v>
      </c>
      <c r="G244" s="38"/>
      <c r="H244" s="33" t="s">
        <v>590</v>
      </c>
      <c r="I244" s="33">
        <v>2500.0</v>
      </c>
    </row>
    <row r="245" ht="22.5" hidden="1" customHeight="1">
      <c r="A245" s="35">
        <v>46234.92474966435</v>
      </c>
      <c r="B245" s="36">
        <v>46146.0</v>
      </c>
      <c r="C245" s="33" t="s">
        <v>50</v>
      </c>
      <c r="D245" s="31" t="s">
        <v>59</v>
      </c>
      <c r="E245" s="38"/>
      <c r="F245" s="29">
        <v>8.606781572E9</v>
      </c>
      <c r="G245" s="38"/>
      <c r="H245" s="33" t="s">
        <v>591</v>
      </c>
      <c r="I245" s="33">
        <v>4000.0</v>
      </c>
    </row>
    <row r="246" ht="22.5" hidden="1" customHeight="1">
      <c r="A246" s="35">
        <v>46234.92639291666</v>
      </c>
      <c r="B246" s="36">
        <v>46110.0</v>
      </c>
      <c r="C246" s="33" t="s">
        <v>64</v>
      </c>
      <c r="D246" s="33" t="s">
        <v>592</v>
      </c>
      <c r="E246" s="38"/>
      <c r="F246" s="33">
        <v>9.846117455E9</v>
      </c>
      <c r="G246" s="38"/>
      <c r="H246" s="33" t="s">
        <v>593</v>
      </c>
      <c r="I246" s="33">
        <v>42000.0</v>
      </c>
    </row>
    <row r="247" ht="22.5" hidden="1" customHeight="1">
      <c r="A247" s="35">
        <v>46234.927543067126</v>
      </c>
      <c r="B247" s="36">
        <v>46108.0</v>
      </c>
      <c r="C247" s="33" t="s">
        <v>64</v>
      </c>
      <c r="D247" s="33" t="s">
        <v>594</v>
      </c>
      <c r="E247" s="38"/>
      <c r="F247" s="33">
        <v>9.544331332E9</v>
      </c>
      <c r="G247" s="38"/>
      <c r="H247" s="33" t="s">
        <v>595</v>
      </c>
      <c r="I247" s="33">
        <v>50000.0</v>
      </c>
    </row>
    <row r="248" ht="22.5" hidden="1" customHeight="1">
      <c r="A248" s="35">
        <v>46234.927938333334</v>
      </c>
      <c r="B248" s="36">
        <v>46108.0</v>
      </c>
      <c r="C248" s="33" t="s">
        <v>64</v>
      </c>
      <c r="D248" s="33" t="s">
        <v>596</v>
      </c>
      <c r="E248" s="38"/>
      <c r="F248" s="33">
        <v>9.526771111E9</v>
      </c>
      <c r="G248" s="38"/>
      <c r="H248" s="33" t="s">
        <v>595</v>
      </c>
      <c r="I248" s="33">
        <v>30000.0</v>
      </c>
    </row>
    <row r="249" ht="22.5" hidden="1" customHeight="1">
      <c r="A249" s="35">
        <v>46234.92955042824</v>
      </c>
      <c r="B249" s="36">
        <v>46111.0</v>
      </c>
      <c r="C249" s="33" t="s">
        <v>64</v>
      </c>
      <c r="D249" s="33" t="s">
        <v>597</v>
      </c>
      <c r="E249" s="33" t="s">
        <v>277</v>
      </c>
      <c r="F249" s="38"/>
      <c r="G249" s="38"/>
      <c r="H249" s="33" t="s">
        <v>598</v>
      </c>
      <c r="I249" s="33">
        <v>500.0</v>
      </c>
    </row>
    <row r="250" ht="22.5" hidden="1" customHeight="1">
      <c r="A250" s="35">
        <v>46234.932068043985</v>
      </c>
      <c r="B250" s="36">
        <v>46111.0</v>
      </c>
      <c r="C250" s="33" t="s">
        <v>64</v>
      </c>
      <c r="D250" s="33" t="s">
        <v>599</v>
      </c>
      <c r="E250" s="38"/>
      <c r="F250" s="33">
        <v>9.645603605E9</v>
      </c>
      <c r="G250" s="38"/>
      <c r="H250" s="33" t="s">
        <v>600</v>
      </c>
      <c r="I250" s="33">
        <v>10000.0</v>
      </c>
    </row>
    <row r="251" ht="22.5" hidden="1" customHeight="1">
      <c r="A251" s="35">
        <v>46234.932824421296</v>
      </c>
      <c r="B251" s="36">
        <v>46112.0</v>
      </c>
      <c r="C251" s="33" t="s">
        <v>64</v>
      </c>
      <c r="D251" s="33" t="s">
        <v>601</v>
      </c>
      <c r="E251" s="38"/>
      <c r="F251" s="33">
        <v>7.510405292E9</v>
      </c>
      <c r="G251" s="38"/>
      <c r="H251" s="33" t="s">
        <v>602</v>
      </c>
      <c r="I251" s="33">
        <v>50000.0</v>
      </c>
    </row>
    <row r="252" ht="22.5" hidden="1" customHeight="1">
      <c r="A252" s="35">
        <v>46234.93316581019</v>
      </c>
      <c r="B252" s="36">
        <v>46112.0</v>
      </c>
      <c r="C252" s="33" t="s">
        <v>64</v>
      </c>
      <c r="D252" s="33" t="s">
        <v>603</v>
      </c>
      <c r="E252" s="38"/>
      <c r="F252" s="33">
        <v>7.510405292E9</v>
      </c>
      <c r="G252" s="38"/>
      <c r="H252" s="33" t="s">
        <v>602</v>
      </c>
      <c r="I252" s="33">
        <v>50000.0</v>
      </c>
    </row>
    <row r="253" ht="22.5" hidden="1" customHeight="1">
      <c r="A253" s="35">
        <v>46234.93366047453</v>
      </c>
      <c r="B253" s="36">
        <v>46112.0</v>
      </c>
      <c r="C253" s="33" t="s">
        <v>50</v>
      </c>
      <c r="D253" s="33" t="s">
        <v>462</v>
      </c>
      <c r="E253" s="38"/>
      <c r="F253" s="33">
        <v>9.6565630305E10</v>
      </c>
      <c r="G253" s="38"/>
      <c r="H253" s="33" t="s">
        <v>604</v>
      </c>
      <c r="I253" s="33">
        <v>5000.0</v>
      </c>
    </row>
    <row r="254" ht="22.5" hidden="1" customHeight="1">
      <c r="A254" s="35">
        <v>46234.93779229167</v>
      </c>
      <c r="B254" s="36">
        <v>46146.0</v>
      </c>
      <c r="C254" s="33" t="s">
        <v>50</v>
      </c>
      <c r="D254" s="33" t="s">
        <v>605</v>
      </c>
      <c r="E254" s="38"/>
      <c r="F254" s="33">
        <v>7.356063316E9</v>
      </c>
      <c r="G254" s="38"/>
      <c r="H254" s="33" t="s">
        <v>606</v>
      </c>
      <c r="I254" s="33">
        <v>5000.0</v>
      </c>
    </row>
    <row r="255" ht="22.5" hidden="1" customHeight="1">
      <c r="A255" s="35">
        <v>46234.94056885417</v>
      </c>
      <c r="B255" s="36">
        <v>46113.0</v>
      </c>
      <c r="C255" s="33" t="s">
        <v>50</v>
      </c>
      <c r="D255" s="33" t="s">
        <v>510</v>
      </c>
      <c r="E255" s="38"/>
      <c r="F255" s="33" t="s">
        <v>589</v>
      </c>
      <c r="G255" s="38"/>
      <c r="H255" s="33" t="s">
        <v>607</v>
      </c>
      <c r="I255" s="33">
        <v>2500.0</v>
      </c>
    </row>
    <row r="256" ht="22.5" hidden="1" customHeight="1">
      <c r="A256" s="35">
        <v>46234.940997893515</v>
      </c>
      <c r="B256" s="36">
        <v>46114.0</v>
      </c>
      <c r="C256" s="33" t="s">
        <v>53</v>
      </c>
      <c r="D256" s="33" t="s">
        <v>608</v>
      </c>
      <c r="E256" s="38"/>
      <c r="F256" s="33">
        <v>9.447582252E9</v>
      </c>
      <c r="G256" s="38"/>
      <c r="H256" s="33" t="s">
        <v>609</v>
      </c>
      <c r="I256" s="33">
        <v>10000.0</v>
      </c>
    </row>
    <row r="257" ht="22.5" hidden="1" customHeight="1">
      <c r="A257" s="35">
        <v>46234.941915034724</v>
      </c>
      <c r="B257" s="36">
        <v>46115.0</v>
      </c>
      <c r="C257" s="33" t="s">
        <v>64</v>
      </c>
      <c r="D257" s="33" t="s">
        <v>189</v>
      </c>
      <c r="E257" s="33" t="s">
        <v>301</v>
      </c>
      <c r="F257" s="33">
        <v>9.886550894E9</v>
      </c>
      <c r="G257" s="38"/>
      <c r="H257" s="33" t="s">
        <v>610</v>
      </c>
      <c r="I257" s="33">
        <v>3000.0</v>
      </c>
    </row>
    <row r="258" ht="22.5" hidden="1" customHeight="1">
      <c r="A258" s="35">
        <v>46234.94238133101</v>
      </c>
      <c r="B258" s="36">
        <v>46115.0</v>
      </c>
      <c r="C258" s="33" t="s">
        <v>64</v>
      </c>
      <c r="D258" s="33" t="s">
        <v>187</v>
      </c>
      <c r="E258" s="33" t="s">
        <v>301</v>
      </c>
      <c r="F258" s="33">
        <v>9.886435575E9</v>
      </c>
      <c r="G258" s="38"/>
      <c r="H258" s="33" t="s">
        <v>610</v>
      </c>
      <c r="I258" s="33">
        <v>3000.0</v>
      </c>
    </row>
    <row r="259" ht="22.5" hidden="1" customHeight="1">
      <c r="A259" s="35">
        <v>46234.942616342596</v>
      </c>
      <c r="B259" s="36">
        <v>46150.0</v>
      </c>
      <c r="C259" s="33" t="s">
        <v>50</v>
      </c>
      <c r="D259" s="33" t="s">
        <v>611</v>
      </c>
      <c r="E259" s="38"/>
      <c r="F259" s="33">
        <v>9.946998398E9</v>
      </c>
      <c r="G259" s="38"/>
      <c r="H259" s="33" t="s">
        <v>612</v>
      </c>
      <c r="I259" s="33">
        <v>5000.0</v>
      </c>
    </row>
    <row r="260" ht="22.5" hidden="1" customHeight="1">
      <c r="A260" s="35">
        <v>46234.94319770833</v>
      </c>
      <c r="B260" s="36">
        <v>46115.0</v>
      </c>
      <c r="C260" s="33" t="s">
        <v>53</v>
      </c>
      <c r="D260" s="29" t="s">
        <v>57</v>
      </c>
      <c r="E260" s="33" t="s">
        <v>277</v>
      </c>
      <c r="F260" s="29">
        <v>8.943021829E9</v>
      </c>
      <c r="G260" s="38"/>
      <c r="H260" s="33" t="s">
        <v>613</v>
      </c>
      <c r="I260" s="33">
        <v>2000.0</v>
      </c>
    </row>
    <row r="261" ht="22.5" hidden="1" customHeight="1">
      <c r="A261" s="35">
        <v>46234.94345951389</v>
      </c>
      <c r="B261" s="36">
        <v>46153.0</v>
      </c>
      <c r="C261" s="33" t="s">
        <v>50</v>
      </c>
      <c r="D261" s="33" t="s">
        <v>182</v>
      </c>
      <c r="E261" s="38"/>
      <c r="F261" s="33">
        <v>9.71505275385E11</v>
      </c>
      <c r="G261" s="38"/>
      <c r="H261" s="33" t="s">
        <v>614</v>
      </c>
      <c r="I261" s="33">
        <v>5000.0</v>
      </c>
    </row>
    <row r="262" ht="22.5" hidden="1" customHeight="1">
      <c r="A262" s="35">
        <v>46234.94369138889</v>
      </c>
      <c r="B262" s="36">
        <v>46115.0</v>
      </c>
      <c r="C262" s="33" t="s">
        <v>50</v>
      </c>
      <c r="D262" s="33" t="s">
        <v>615</v>
      </c>
      <c r="E262" s="38"/>
      <c r="F262" s="33">
        <v>7.356063316E9</v>
      </c>
      <c r="G262" s="38"/>
      <c r="H262" s="33" t="s">
        <v>616</v>
      </c>
      <c r="I262" s="33">
        <v>5000.0</v>
      </c>
    </row>
    <row r="263" ht="22.5" hidden="1" customHeight="1">
      <c r="A263" s="35">
        <v>46234.94413188657</v>
      </c>
      <c r="B263" s="36">
        <v>46116.0</v>
      </c>
      <c r="C263" s="33" t="s">
        <v>50</v>
      </c>
      <c r="D263" s="33" t="s">
        <v>617</v>
      </c>
      <c r="E263" s="38"/>
      <c r="F263" s="33">
        <v>9.946998398E9</v>
      </c>
      <c r="G263" s="38"/>
      <c r="H263" s="33" t="s">
        <v>618</v>
      </c>
      <c r="I263" s="33">
        <v>3000.0</v>
      </c>
    </row>
    <row r="264" ht="22.5" hidden="1" customHeight="1">
      <c r="A264" s="35">
        <v>46234.944568252315</v>
      </c>
      <c r="B264" s="36">
        <v>46119.0</v>
      </c>
      <c r="C264" s="33" t="s">
        <v>50</v>
      </c>
      <c r="D264" s="33" t="s">
        <v>619</v>
      </c>
      <c r="E264" s="38"/>
      <c r="F264" s="33">
        <v>9.745381109E9</v>
      </c>
      <c r="G264" s="38"/>
      <c r="H264" s="33" t="s">
        <v>620</v>
      </c>
      <c r="I264" s="33">
        <v>4200.0</v>
      </c>
    </row>
    <row r="265" ht="22.5" hidden="1" customHeight="1">
      <c r="A265" s="35">
        <v>46234.94554959491</v>
      </c>
      <c r="B265" s="36">
        <v>46120.0</v>
      </c>
      <c r="C265" s="33" t="s">
        <v>50</v>
      </c>
      <c r="D265" s="31" t="s">
        <v>59</v>
      </c>
      <c r="E265" s="38"/>
      <c r="F265" s="29">
        <v>8.606781572E9</v>
      </c>
      <c r="G265" s="38"/>
      <c r="H265" s="33" t="s">
        <v>621</v>
      </c>
      <c r="I265" s="33">
        <v>4000.0</v>
      </c>
    </row>
    <row r="266" ht="22.5" customHeight="1">
      <c r="A266" s="35">
        <v>46234.94717459491</v>
      </c>
      <c r="B266" s="36">
        <v>46121.0</v>
      </c>
      <c r="C266" s="33" t="s">
        <v>64</v>
      </c>
      <c r="D266" s="33" t="s">
        <v>622</v>
      </c>
      <c r="E266" s="38"/>
      <c r="F266" s="33">
        <v>9.544444114E9</v>
      </c>
      <c r="G266" s="38"/>
      <c r="H266" s="33" t="s">
        <v>623</v>
      </c>
      <c r="I266" s="33">
        <v>150000.0</v>
      </c>
    </row>
    <row r="267" ht="22.5" hidden="1" customHeight="1">
      <c r="A267" s="35">
        <v>46234.94826653935</v>
      </c>
      <c r="B267" s="36">
        <v>46121.0</v>
      </c>
      <c r="C267" s="33" t="s">
        <v>64</v>
      </c>
      <c r="D267" s="33" t="s">
        <v>624</v>
      </c>
      <c r="E267" s="38"/>
      <c r="F267" s="33">
        <v>9.7150867537E11</v>
      </c>
      <c r="G267" s="38"/>
      <c r="H267" s="33" t="s">
        <v>625</v>
      </c>
      <c r="I267" s="33">
        <v>110000.0</v>
      </c>
    </row>
    <row r="268" ht="22.5" hidden="1" customHeight="1">
      <c r="A268" s="35">
        <v>46234.94925733796</v>
      </c>
      <c r="B268" s="36">
        <v>46123.0</v>
      </c>
      <c r="C268" s="33" t="s">
        <v>64</v>
      </c>
      <c r="D268" s="33" t="s">
        <v>626</v>
      </c>
      <c r="E268" s="38"/>
      <c r="F268" s="33">
        <v>9.072804123E9</v>
      </c>
      <c r="G268" s="38"/>
      <c r="H268" s="33" t="s">
        <v>627</v>
      </c>
      <c r="I268" s="33">
        <v>5120.0</v>
      </c>
    </row>
    <row r="269" ht="22.5" hidden="1" customHeight="1">
      <c r="A269" s="35">
        <v>46234.94978083333</v>
      </c>
      <c r="B269" s="36">
        <v>46123.0</v>
      </c>
      <c r="C269" s="33" t="s">
        <v>53</v>
      </c>
      <c r="D269" s="33" t="s">
        <v>628</v>
      </c>
      <c r="E269" s="38"/>
      <c r="F269" s="33" t="s">
        <v>629</v>
      </c>
      <c r="G269" s="38"/>
      <c r="H269" s="33" t="s">
        <v>630</v>
      </c>
      <c r="I269" s="33">
        <v>35000.0</v>
      </c>
    </row>
    <row r="270" ht="22.5" hidden="1" customHeight="1">
      <c r="A270" s="35">
        <v>46234.95013038194</v>
      </c>
      <c r="B270" s="36">
        <v>46124.0</v>
      </c>
      <c r="C270" s="33" t="s">
        <v>53</v>
      </c>
      <c r="D270" s="33" t="s">
        <v>68</v>
      </c>
      <c r="E270" s="38"/>
      <c r="F270" s="29">
        <v>9.847880118E9</v>
      </c>
      <c r="G270" s="38"/>
      <c r="H270" s="33" t="s">
        <v>631</v>
      </c>
      <c r="I270" s="33">
        <v>2000.0</v>
      </c>
    </row>
    <row r="271" ht="22.5" hidden="1" customHeight="1">
      <c r="A271" s="35">
        <v>46234.95041819444</v>
      </c>
      <c r="B271" s="36">
        <v>46153.0</v>
      </c>
      <c r="C271" s="33" t="s">
        <v>50</v>
      </c>
      <c r="D271" s="33" t="s">
        <v>182</v>
      </c>
      <c r="E271" s="38"/>
      <c r="F271" s="33">
        <v>9.71505275385E11</v>
      </c>
      <c r="G271" s="38"/>
      <c r="H271" s="33" t="s">
        <v>632</v>
      </c>
      <c r="I271" s="33">
        <v>5000.0</v>
      </c>
    </row>
    <row r="272" ht="22.5" hidden="1" customHeight="1">
      <c r="A272" s="35">
        <v>46234.95115875</v>
      </c>
      <c r="B272" s="36">
        <v>46156.0</v>
      </c>
      <c r="C272" s="33" t="s">
        <v>53</v>
      </c>
      <c r="D272" s="33" t="s">
        <v>633</v>
      </c>
      <c r="E272" s="38"/>
      <c r="F272" s="33">
        <v>9.745759562E9</v>
      </c>
      <c r="G272" s="38"/>
      <c r="H272" s="33" t="s">
        <v>634</v>
      </c>
      <c r="I272" s="33">
        <v>10000.0</v>
      </c>
    </row>
    <row r="273" ht="22.5" hidden="1" customHeight="1">
      <c r="A273" s="35">
        <v>46234.95121185185</v>
      </c>
      <c r="B273" s="36">
        <v>46124.0</v>
      </c>
      <c r="C273" s="33" t="s">
        <v>64</v>
      </c>
      <c r="D273" s="33" t="s">
        <v>635</v>
      </c>
      <c r="E273" s="38"/>
      <c r="F273" s="33">
        <v>9.048793138E9</v>
      </c>
      <c r="G273" s="38"/>
      <c r="H273" s="33" t="s">
        <v>636</v>
      </c>
      <c r="I273" s="33">
        <v>3000.0</v>
      </c>
    </row>
    <row r="274" ht="22.5" hidden="1" customHeight="1">
      <c r="A274" s="35">
        <v>46234.95185182871</v>
      </c>
      <c r="B274" s="36">
        <v>46156.0</v>
      </c>
      <c r="C274" s="33" t="s">
        <v>50</v>
      </c>
      <c r="D274" s="33" t="s">
        <v>637</v>
      </c>
      <c r="E274" s="38"/>
      <c r="F274" s="33" t="s">
        <v>638</v>
      </c>
      <c r="G274" s="38"/>
      <c r="H274" s="33" t="s">
        <v>639</v>
      </c>
      <c r="I274" s="33">
        <v>1500.0</v>
      </c>
    </row>
    <row r="275" ht="22.5" hidden="1" customHeight="1">
      <c r="A275" s="35">
        <v>46234.952915312504</v>
      </c>
      <c r="B275" s="36">
        <v>46159.0</v>
      </c>
      <c r="C275" s="33" t="s">
        <v>53</v>
      </c>
      <c r="D275" s="33" t="s">
        <v>640</v>
      </c>
      <c r="E275" s="38"/>
      <c r="F275" s="33">
        <v>9.746484385E9</v>
      </c>
      <c r="G275" s="38"/>
      <c r="H275" s="33" t="s">
        <v>641</v>
      </c>
      <c r="I275" s="33">
        <v>5000.0</v>
      </c>
    </row>
    <row r="276" ht="22.5" hidden="1" customHeight="1">
      <c r="A276" s="35">
        <v>46234.953141805556</v>
      </c>
      <c r="B276" s="36">
        <v>46128.0</v>
      </c>
      <c r="C276" s="33" t="s">
        <v>64</v>
      </c>
      <c r="D276" s="33" t="s">
        <v>169</v>
      </c>
      <c r="E276" s="33" t="s">
        <v>332</v>
      </c>
      <c r="F276" s="33">
        <v>9.207339557E9</v>
      </c>
      <c r="G276" s="38"/>
      <c r="H276" s="33" t="s">
        <v>643</v>
      </c>
      <c r="I276" s="33">
        <v>2000.0</v>
      </c>
    </row>
    <row r="277" ht="22.5" hidden="1" customHeight="1">
      <c r="A277" s="35">
        <v>46234.95367265046</v>
      </c>
      <c r="B277" s="36">
        <v>46128.0</v>
      </c>
      <c r="C277" s="33" t="s">
        <v>64</v>
      </c>
      <c r="D277" s="33" t="s">
        <v>644</v>
      </c>
      <c r="E277" s="33" t="s">
        <v>332</v>
      </c>
      <c r="F277" s="33">
        <v>9.496607258E9</v>
      </c>
      <c r="G277" s="38"/>
      <c r="H277" s="33" t="s">
        <v>643</v>
      </c>
      <c r="I277" s="33">
        <v>5000.0</v>
      </c>
    </row>
    <row r="278" ht="22.5" hidden="1" customHeight="1">
      <c r="A278" s="35">
        <v>46234.95370268519</v>
      </c>
      <c r="B278" s="36">
        <v>46162.0</v>
      </c>
      <c r="C278" s="33" t="s">
        <v>53</v>
      </c>
      <c r="D278" s="33" t="s">
        <v>645</v>
      </c>
      <c r="E278" s="38"/>
      <c r="F278" s="33" t="s">
        <v>646</v>
      </c>
      <c r="G278" s="38"/>
      <c r="H278" s="33" t="s">
        <v>647</v>
      </c>
      <c r="I278" s="33">
        <v>2500.0</v>
      </c>
    </row>
    <row r="279" ht="22.5" hidden="1" customHeight="1">
      <c r="A279" s="35">
        <v>46234.954313449074</v>
      </c>
      <c r="B279" s="36">
        <v>46130.0</v>
      </c>
      <c r="C279" s="33" t="s">
        <v>53</v>
      </c>
      <c r="D279" s="33" t="s">
        <v>648</v>
      </c>
      <c r="E279" s="38"/>
      <c r="F279" s="33" t="s">
        <v>649</v>
      </c>
      <c r="G279" s="38"/>
      <c r="H279" s="33" t="s">
        <v>650</v>
      </c>
      <c r="I279" s="33">
        <v>51800.0</v>
      </c>
    </row>
    <row r="280" ht="22.5" hidden="1" customHeight="1">
      <c r="A280" s="35">
        <v>46234.95481851852</v>
      </c>
      <c r="B280" s="36">
        <v>46130.0</v>
      </c>
      <c r="C280" s="33" t="s">
        <v>53</v>
      </c>
      <c r="D280" s="33" t="s">
        <v>651</v>
      </c>
      <c r="E280" s="38"/>
      <c r="F280" s="33">
        <v>9.495266313E9</v>
      </c>
      <c r="G280" s="38"/>
      <c r="H280" s="33" t="s">
        <v>652</v>
      </c>
      <c r="I280" s="33">
        <v>30000.0</v>
      </c>
    </row>
    <row r="281" ht="22.5" hidden="1" customHeight="1">
      <c r="A281" s="35">
        <v>46234.955188692125</v>
      </c>
      <c r="B281" s="36">
        <v>46130.0</v>
      </c>
      <c r="C281" s="33" t="s">
        <v>53</v>
      </c>
      <c r="D281" s="33" t="s">
        <v>653</v>
      </c>
      <c r="E281" s="38"/>
      <c r="F281" s="33">
        <v>9.447801234E9</v>
      </c>
      <c r="G281" s="38"/>
      <c r="H281" s="33" t="s">
        <v>654</v>
      </c>
      <c r="I281" s="33">
        <v>50000.0</v>
      </c>
    </row>
    <row r="282" ht="22.5" hidden="1" customHeight="1">
      <c r="A282" s="35">
        <v>46234.956137685185</v>
      </c>
      <c r="B282" s="36">
        <v>46162.0</v>
      </c>
      <c r="C282" s="33" t="s">
        <v>50</v>
      </c>
      <c r="D282" s="33" t="s">
        <v>178</v>
      </c>
      <c r="E282" s="38"/>
      <c r="F282" s="33">
        <v>6.235536872E9</v>
      </c>
      <c r="G282" s="38"/>
      <c r="H282" s="33" t="s">
        <v>655</v>
      </c>
      <c r="I282" s="33">
        <v>4200.0</v>
      </c>
    </row>
    <row r="283" ht="22.5" hidden="1" customHeight="1">
      <c r="A283" s="35">
        <v>46234.95692469907</v>
      </c>
      <c r="B283" s="36">
        <v>46164.0</v>
      </c>
      <c r="C283" s="33" t="s">
        <v>53</v>
      </c>
      <c r="D283" s="33" t="s">
        <v>656</v>
      </c>
      <c r="E283" s="38"/>
      <c r="F283" s="33">
        <v>9.447582252E9</v>
      </c>
      <c r="G283" s="38"/>
      <c r="H283" s="33" t="s">
        <v>657</v>
      </c>
      <c r="I283" s="33">
        <v>5000.0</v>
      </c>
    </row>
    <row r="284" ht="22.5" hidden="1" customHeight="1">
      <c r="A284" s="35">
        <v>46234.96680026621</v>
      </c>
      <c r="B284" s="36">
        <v>46130.0</v>
      </c>
      <c r="C284" s="33" t="s">
        <v>53</v>
      </c>
      <c r="D284" s="33" t="s">
        <v>506</v>
      </c>
      <c r="E284" s="38"/>
      <c r="F284" s="33">
        <v>9.745759562E9</v>
      </c>
      <c r="G284" s="38"/>
      <c r="H284" s="33" t="s">
        <v>658</v>
      </c>
      <c r="I284" s="33">
        <v>10000.0</v>
      </c>
    </row>
    <row r="285" ht="22.5" hidden="1" customHeight="1">
      <c r="A285" s="35">
        <v>46234.96765143519</v>
      </c>
      <c r="B285" s="36">
        <v>46133.0</v>
      </c>
      <c r="C285" s="33" t="s">
        <v>64</v>
      </c>
      <c r="D285" s="33" t="s">
        <v>494</v>
      </c>
      <c r="E285" s="38"/>
      <c r="F285" s="33">
        <v>9.995550989E9</v>
      </c>
      <c r="G285" s="38"/>
      <c r="H285" s="33" t="s">
        <v>659</v>
      </c>
      <c r="I285" s="33">
        <v>30000.0</v>
      </c>
    </row>
    <row r="286" ht="22.5" hidden="1" customHeight="1">
      <c r="A286" s="35">
        <v>46234.96806586806</v>
      </c>
      <c r="B286" s="36">
        <v>46133.0</v>
      </c>
      <c r="C286" s="33" t="s">
        <v>50</v>
      </c>
      <c r="D286" s="33" t="s">
        <v>341</v>
      </c>
      <c r="E286" s="38"/>
      <c r="F286" s="33" t="s">
        <v>660</v>
      </c>
      <c r="G286" s="38"/>
      <c r="H286" s="33" t="s">
        <v>661</v>
      </c>
      <c r="I286" s="33">
        <v>2500.0</v>
      </c>
    </row>
    <row r="287" ht="22.5" hidden="1" customHeight="1">
      <c r="A287" s="35">
        <v>46234.968603773144</v>
      </c>
      <c r="B287" s="36">
        <v>46136.0</v>
      </c>
      <c r="C287" s="33" t="s">
        <v>50</v>
      </c>
      <c r="D287" s="33" t="s">
        <v>662</v>
      </c>
      <c r="E287" s="38"/>
      <c r="F287" s="33" t="s">
        <v>663</v>
      </c>
      <c r="G287" s="38"/>
      <c r="H287" s="33" t="s">
        <v>664</v>
      </c>
      <c r="I287" s="33">
        <v>46500.0</v>
      </c>
    </row>
    <row r="288" ht="22.5" hidden="1" customHeight="1">
      <c r="A288" s="35">
        <v>46234.96897732639</v>
      </c>
      <c r="B288" s="36">
        <v>46136.0</v>
      </c>
      <c r="C288" s="33" t="s">
        <v>50</v>
      </c>
      <c r="D288" s="33" t="s">
        <v>665</v>
      </c>
      <c r="E288" s="38"/>
      <c r="F288" s="33" t="s">
        <v>663</v>
      </c>
      <c r="G288" s="38"/>
      <c r="H288" s="33" t="s">
        <v>666</v>
      </c>
      <c r="I288" s="33">
        <v>9000.0</v>
      </c>
    </row>
    <row r="289" ht="22.5" hidden="1" customHeight="1">
      <c r="A289" s="35">
        <v>46234.96943563657</v>
      </c>
      <c r="B289" s="36">
        <v>46136.0</v>
      </c>
      <c r="C289" s="33" t="s">
        <v>50</v>
      </c>
      <c r="D289" s="33" t="s">
        <v>665</v>
      </c>
      <c r="E289" s="38"/>
      <c r="F289" s="33" t="s">
        <v>663</v>
      </c>
      <c r="G289" s="38"/>
      <c r="H289" s="33" t="s">
        <v>667</v>
      </c>
      <c r="I289" s="33">
        <v>500.0</v>
      </c>
    </row>
    <row r="290" ht="22.5" hidden="1" customHeight="1">
      <c r="A290" s="35">
        <v>46234.96982653935</v>
      </c>
      <c r="B290" s="36">
        <v>46137.0</v>
      </c>
      <c r="C290" s="33" t="s">
        <v>53</v>
      </c>
      <c r="D290" s="33" t="s">
        <v>608</v>
      </c>
      <c r="E290" s="38"/>
      <c r="F290" s="33">
        <v>9.447582252E9</v>
      </c>
      <c r="G290" s="38"/>
      <c r="H290" s="33" t="s">
        <v>668</v>
      </c>
      <c r="I290" s="33">
        <v>10000.0</v>
      </c>
    </row>
    <row r="291" ht="22.5" hidden="1" customHeight="1">
      <c r="A291" s="35">
        <v>46234.97048429398</v>
      </c>
      <c r="B291" s="36">
        <v>46137.0</v>
      </c>
      <c r="C291" s="33" t="s">
        <v>50</v>
      </c>
      <c r="D291" s="33" t="s">
        <v>665</v>
      </c>
      <c r="E291" s="38"/>
      <c r="F291" s="33" t="s">
        <v>663</v>
      </c>
      <c r="G291" s="38"/>
      <c r="H291" s="33" t="s">
        <v>669</v>
      </c>
      <c r="I291" s="33">
        <v>47000.0</v>
      </c>
    </row>
    <row r="292" ht="22.5" hidden="1" customHeight="1">
      <c r="A292" s="35">
        <v>46234.97105064815</v>
      </c>
      <c r="B292" s="36">
        <v>46137.0</v>
      </c>
      <c r="C292" s="33" t="s">
        <v>50</v>
      </c>
      <c r="D292" s="33" t="s">
        <v>665</v>
      </c>
      <c r="E292" s="38"/>
      <c r="F292" s="33" t="s">
        <v>663</v>
      </c>
      <c r="G292" s="38"/>
      <c r="H292" s="33" t="s">
        <v>670</v>
      </c>
      <c r="I292" s="33">
        <v>51500.0</v>
      </c>
    </row>
    <row r="293" ht="22.5" hidden="1" customHeight="1">
      <c r="A293" s="35">
        <v>46234.9718885301</v>
      </c>
      <c r="B293" s="36">
        <v>46137.0</v>
      </c>
      <c r="C293" s="33" t="s">
        <v>50</v>
      </c>
      <c r="D293" s="33" t="s">
        <v>665</v>
      </c>
      <c r="E293" s="38"/>
      <c r="F293" s="33" t="s">
        <v>663</v>
      </c>
      <c r="G293" s="38"/>
      <c r="H293" s="33" t="s">
        <v>671</v>
      </c>
      <c r="I293" s="33">
        <v>41000.0</v>
      </c>
    </row>
    <row r="294" ht="22.5" hidden="1" customHeight="1">
      <c r="A294" s="35">
        <v>46234.972401481486</v>
      </c>
      <c r="B294" s="36">
        <v>46137.0</v>
      </c>
      <c r="C294" s="33" t="s">
        <v>50</v>
      </c>
      <c r="D294" s="33" t="s">
        <v>665</v>
      </c>
      <c r="E294" s="38"/>
      <c r="F294" s="33">
        <v>9.66502260048E11</v>
      </c>
      <c r="G294" s="38"/>
      <c r="H294" s="33" t="s">
        <v>672</v>
      </c>
      <c r="I294" s="33">
        <v>500.0</v>
      </c>
    </row>
    <row r="295" ht="22.5" hidden="1" customHeight="1">
      <c r="A295" s="35">
        <v>46234.97280002315</v>
      </c>
      <c r="B295" s="36">
        <v>46137.0</v>
      </c>
      <c r="C295" s="33" t="s">
        <v>50</v>
      </c>
      <c r="D295" s="33" t="s">
        <v>665</v>
      </c>
      <c r="E295" s="38"/>
      <c r="F295" s="33">
        <v>9.66502260048E11</v>
      </c>
      <c r="G295" s="38"/>
      <c r="H295" s="33" t="s">
        <v>673</v>
      </c>
      <c r="I295" s="33">
        <v>500.0</v>
      </c>
    </row>
    <row r="296" ht="22.5" hidden="1" customHeight="1">
      <c r="A296" s="35">
        <v>46234.97320168982</v>
      </c>
      <c r="B296" s="36">
        <v>46139.0</v>
      </c>
      <c r="C296" s="33" t="s">
        <v>53</v>
      </c>
      <c r="D296" s="33" t="s">
        <v>450</v>
      </c>
      <c r="E296" s="38"/>
      <c r="F296" s="33" t="s">
        <v>646</v>
      </c>
      <c r="G296" s="38"/>
      <c r="H296" s="33" t="s">
        <v>674</v>
      </c>
      <c r="I296" s="33">
        <v>2500.0</v>
      </c>
    </row>
    <row r="297" ht="22.5" hidden="1" customHeight="1">
      <c r="A297" s="35">
        <v>46234.97362553241</v>
      </c>
      <c r="B297" s="36">
        <v>46140.0</v>
      </c>
      <c r="C297" s="33" t="s">
        <v>53</v>
      </c>
      <c r="D297" s="33" t="s">
        <v>524</v>
      </c>
      <c r="E297" s="38"/>
      <c r="F297" s="33" t="s">
        <v>525</v>
      </c>
      <c r="G297" s="38"/>
      <c r="H297" s="33" t="s">
        <v>675</v>
      </c>
      <c r="I297" s="33">
        <v>2500.0</v>
      </c>
    </row>
    <row r="298" ht="22.5" hidden="1" customHeight="1">
      <c r="A298" s="35">
        <v>46234.97401634259</v>
      </c>
      <c r="B298" s="36">
        <v>46140.0</v>
      </c>
      <c r="C298" s="33" t="s">
        <v>53</v>
      </c>
      <c r="D298" s="33" t="s">
        <v>524</v>
      </c>
      <c r="E298" s="38"/>
      <c r="F298" s="33" t="s">
        <v>525</v>
      </c>
      <c r="G298" s="38"/>
      <c r="H298" s="33" t="s">
        <v>676</v>
      </c>
      <c r="I298" s="33">
        <v>2500.0</v>
      </c>
    </row>
    <row r="299" ht="22.5" hidden="1" customHeight="1">
      <c r="A299" s="35">
        <v>46234.97456635417</v>
      </c>
      <c r="B299" s="36">
        <v>46142.0</v>
      </c>
      <c r="C299" s="33" t="s">
        <v>53</v>
      </c>
      <c r="D299" s="33" t="s">
        <v>677</v>
      </c>
      <c r="E299" s="38"/>
      <c r="F299" s="33">
        <v>9.447582252E9</v>
      </c>
      <c r="G299" s="38"/>
      <c r="H299" s="33" t="s">
        <v>678</v>
      </c>
      <c r="I299" s="33">
        <v>10000.0</v>
      </c>
    </row>
    <row r="300" ht="22.5" hidden="1" customHeight="1">
      <c r="A300" s="35">
        <v>46234.97497927083</v>
      </c>
      <c r="B300" s="36">
        <v>46142.0</v>
      </c>
      <c r="C300" s="33" t="s">
        <v>50</v>
      </c>
      <c r="D300" s="33" t="s">
        <v>344</v>
      </c>
      <c r="E300" s="38"/>
      <c r="F300" s="33">
        <v>9.048515649E9</v>
      </c>
      <c r="G300" s="38"/>
      <c r="H300" s="33" t="s">
        <v>679</v>
      </c>
      <c r="I300" s="33">
        <v>2500.0</v>
      </c>
    </row>
    <row r="301" ht="22.5" hidden="1" customHeight="1">
      <c r="A301" s="35">
        <v>46234.9753583912</v>
      </c>
      <c r="B301" s="36">
        <v>46142.0</v>
      </c>
      <c r="C301" s="33" t="s">
        <v>50</v>
      </c>
      <c r="D301" s="33" t="s">
        <v>462</v>
      </c>
      <c r="E301" s="38"/>
      <c r="F301" s="33">
        <v>9.656530305E9</v>
      </c>
      <c r="G301" s="38"/>
      <c r="H301" s="33" t="s">
        <v>680</v>
      </c>
      <c r="I301" s="33">
        <v>5000.0</v>
      </c>
    </row>
    <row r="302" ht="22.5" hidden="1" customHeight="1">
      <c r="A302" s="35">
        <v>46234.978737453705</v>
      </c>
      <c r="B302" s="36">
        <v>46143.0</v>
      </c>
      <c r="C302" s="33" t="s">
        <v>64</v>
      </c>
      <c r="D302" s="33" t="s">
        <v>681</v>
      </c>
      <c r="E302" s="38"/>
      <c r="F302" s="33">
        <v>9.89527027E9</v>
      </c>
      <c r="G302" s="38"/>
      <c r="H302" s="33" t="s">
        <v>682</v>
      </c>
      <c r="I302" s="33">
        <v>5000.0</v>
      </c>
    </row>
    <row r="303" ht="22.5" hidden="1" customHeight="1">
      <c r="A303" s="35">
        <v>46234.97966899305</v>
      </c>
      <c r="B303" s="36">
        <v>46143.0</v>
      </c>
      <c r="C303" s="33" t="s">
        <v>64</v>
      </c>
      <c r="D303" s="33" t="s">
        <v>683</v>
      </c>
      <c r="E303" s="38"/>
      <c r="F303" s="33">
        <v>9.895413951E9</v>
      </c>
      <c r="G303" s="38"/>
      <c r="H303" s="33" t="s">
        <v>684</v>
      </c>
      <c r="I303" s="33">
        <v>30000.0</v>
      </c>
    </row>
    <row r="304" ht="22.5" hidden="1" customHeight="1">
      <c r="A304" s="35">
        <v>46234.980114247686</v>
      </c>
      <c r="B304" s="36">
        <v>46143.0</v>
      </c>
      <c r="C304" s="33" t="s">
        <v>64</v>
      </c>
      <c r="D304" s="33" t="s">
        <v>685</v>
      </c>
      <c r="E304" s="38"/>
      <c r="F304" s="33">
        <v>9.895413951E9</v>
      </c>
      <c r="G304" s="38"/>
      <c r="H304" s="33" t="s">
        <v>684</v>
      </c>
      <c r="I304" s="33">
        <v>34000.0</v>
      </c>
    </row>
    <row r="305" ht="22.5" hidden="1" customHeight="1">
      <c r="A305" s="35">
        <v>46234.980958472224</v>
      </c>
      <c r="B305" s="36">
        <v>46144.0</v>
      </c>
      <c r="C305" s="33" t="s">
        <v>64</v>
      </c>
      <c r="D305" s="33" t="s">
        <v>686</v>
      </c>
      <c r="E305" s="38"/>
      <c r="F305" s="38"/>
      <c r="G305" s="38"/>
      <c r="H305" s="33" t="s">
        <v>687</v>
      </c>
      <c r="I305" s="33">
        <v>30000.0</v>
      </c>
    </row>
    <row r="306" ht="22.5" hidden="1" customHeight="1">
      <c r="A306" s="35">
        <v>46234.98160402778</v>
      </c>
      <c r="B306" s="36">
        <v>46144.0</v>
      </c>
      <c r="C306" s="33" t="s">
        <v>64</v>
      </c>
      <c r="D306" s="33" t="s">
        <v>688</v>
      </c>
      <c r="E306" s="38"/>
      <c r="F306" s="38"/>
      <c r="G306" s="38"/>
      <c r="H306" s="33" t="s">
        <v>687</v>
      </c>
      <c r="I306" s="33">
        <v>30000.0</v>
      </c>
    </row>
    <row r="307" ht="22.5" hidden="1" customHeight="1">
      <c r="A307" s="35">
        <v>46234.98504883102</v>
      </c>
      <c r="B307" s="36">
        <v>46149.0</v>
      </c>
      <c r="C307" s="33" t="s">
        <v>64</v>
      </c>
      <c r="D307" s="33" t="s">
        <v>690</v>
      </c>
      <c r="E307" s="33" t="s">
        <v>691</v>
      </c>
      <c r="F307" s="33">
        <v>8.891188806E9</v>
      </c>
      <c r="G307" s="38"/>
      <c r="H307" s="33" t="s">
        <v>692</v>
      </c>
      <c r="I307" s="33">
        <v>3000.0</v>
      </c>
    </row>
    <row r="308" ht="22.5" hidden="1" customHeight="1">
      <c r="A308" s="35">
        <v>46234.985754444446</v>
      </c>
      <c r="B308" s="36">
        <v>46149.0</v>
      </c>
      <c r="C308" s="33" t="s">
        <v>64</v>
      </c>
      <c r="D308" s="33" t="s">
        <v>693</v>
      </c>
      <c r="E308" s="38"/>
      <c r="F308" s="33">
        <v>9.745857347E9</v>
      </c>
      <c r="G308" s="38"/>
      <c r="H308" s="33" t="s">
        <v>694</v>
      </c>
      <c r="I308" s="33">
        <v>8000.0</v>
      </c>
    </row>
    <row r="309" ht="22.5" hidden="1" customHeight="1">
      <c r="A309" s="35">
        <v>46234.98840261574</v>
      </c>
      <c r="B309" s="36">
        <v>46159.0</v>
      </c>
      <c r="C309" s="33" t="s">
        <v>64</v>
      </c>
      <c r="D309" s="33" t="s">
        <v>695</v>
      </c>
      <c r="E309" s="38"/>
      <c r="F309" s="38"/>
      <c r="G309" s="38"/>
      <c r="H309" s="33" t="s">
        <v>696</v>
      </c>
      <c r="I309" s="33">
        <v>30000.0</v>
      </c>
    </row>
    <row r="310" ht="22.5" hidden="1" customHeight="1">
      <c r="A310" s="35">
        <v>46234.99100362269</v>
      </c>
      <c r="B310" s="36">
        <v>46167.0</v>
      </c>
      <c r="C310" s="33" t="s">
        <v>50</v>
      </c>
      <c r="D310" s="33" t="s">
        <v>697</v>
      </c>
      <c r="E310" s="38"/>
      <c r="F310" s="33">
        <v>9.048515649E9</v>
      </c>
      <c r="G310" s="38"/>
      <c r="H310" s="33" t="s">
        <v>698</v>
      </c>
      <c r="I310" s="33">
        <v>2500.0</v>
      </c>
    </row>
    <row r="311" ht="22.5" hidden="1" customHeight="1">
      <c r="A311" s="35">
        <v>46234.99152737268</v>
      </c>
      <c r="B311" s="36">
        <v>46168.0</v>
      </c>
      <c r="C311" s="33" t="s">
        <v>53</v>
      </c>
      <c r="D311" s="33" t="s">
        <v>699</v>
      </c>
      <c r="E311" s="38"/>
      <c r="F311" s="33">
        <v>9.447541357E9</v>
      </c>
      <c r="G311" s="38"/>
      <c r="H311" s="33" t="s">
        <v>700</v>
      </c>
      <c r="I311" s="33">
        <v>1500.0</v>
      </c>
    </row>
    <row r="312" ht="22.5" hidden="1" customHeight="1">
      <c r="A312" s="35">
        <v>46234.99213275463</v>
      </c>
      <c r="B312" s="36">
        <v>46168.0</v>
      </c>
      <c r="C312" s="33" t="s">
        <v>53</v>
      </c>
      <c r="D312" s="33" t="s">
        <v>699</v>
      </c>
      <c r="E312" s="38"/>
      <c r="F312" s="33">
        <v>9.447541357E9</v>
      </c>
      <c r="G312" s="38"/>
      <c r="H312" s="33" t="s">
        <v>701</v>
      </c>
      <c r="I312" s="33">
        <v>2000.0</v>
      </c>
    </row>
    <row r="313" ht="22.5" hidden="1" customHeight="1">
      <c r="A313" s="35">
        <v>46234.99251685185</v>
      </c>
      <c r="B313" s="36">
        <v>46168.0</v>
      </c>
      <c r="C313" s="33" t="s">
        <v>50</v>
      </c>
      <c r="D313" s="33" t="s">
        <v>617</v>
      </c>
      <c r="E313" s="38"/>
      <c r="F313" s="33">
        <v>9.946998398E9</v>
      </c>
      <c r="G313" s="38"/>
      <c r="H313" s="33" t="s">
        <v>702</v>
      </c>
      <c r="I313" s="33">
        <v>3000.0</v>
      </c>
    </row>
    <row r="314" ht="22.5" hidden="1" customHeight="1">
      <c r="A314" s="35">
        <v>46234.993203715276</v>
      </c>
      <c r="B314" s="36">
        <v>46168.0</v>
      </c>
      <c r="C314" s="33" t="s">
        <v>50</v>
      </c>
      <c r="D314" s="33" t="s">
        <v>480</v>
      </c>
      <c r="E314" s="38"/>
      <c r="F314" s="33" t="s">
        <v>564</v>
      </c>
      <c r="G314" s="38"/>
      <c r="H314" s="33" t="s">
        <v>703</v>
      </c>
      <c r="I314" s="33">
        <v>2500.0</v>
      </c>
    </row>
    <row r="315" ht="22.5" hidden="1" customHeight="1">
      <c r="A315" s="35">
        <v>46234.993626261574</v>
      </c>
      <c r="B315" s="36">
        <v>46169.0</v>
      </c>
      <c r="C315" s="33" t="s">
        <v>50</v>
      </c>
      <c r="D315" s="33" t="s">
        <v>704</v>
      </c>
      <c r="E315" s="38"/>
      <c r="F315" s="33">
        <v>9.995569845E9</v>
      </c>
      <c r="G315" s="38"/>
      <c r="H315" s="33" t="s">
        <v>705</v>
      </c>
      <c r="I315" s="33">
        <v>2500.0</v>
      </c>
    </row>
    <row r="316" ht="22.5" hidden="1" customHeight="1">
      <c r="A316" s="35">
        <v>46234.99405304398</v>
      </c>
      <c r="B316" s="36">
        <v>46170.0</v>
      </c>
      <c r="C316" s="33" t="s">
        <v>50</v>
      </c>
      <c r="D316" s="33" t="s">
        <v>68</v>
      </c>
      <c r="E316" s="38"/>
      <c r="F316" s="29">
        <v>9.847880118E9</v>
      </c>
      <c r="G316" s="38"/>
      <c r="H316" s="33" t="s">
        <v>706</v>
      </c>
      <c r="I316" s="33">
        <v>2500.0</v>
      </c>
    </row>
    <row r="317" ht="22.5" hidden="1" customHeight="1">
      <c r="A317" s="35">
        <v>46234.99441291667</v>
      </c>
      <c r="B317" s="36">
        <v>46171.0</v>
      </c>
      <c r="C317" s="33" t="s">
        <v>50</v>
      </c>
      <c r="D317" s="33" t="s">
        <v>462</v>
      </c>
      <c r="E317" s="38"/>
      <c r="F317" s="33">
        <v>9.656530305E9</v>
      </c>
      <c r="G317" s="38"/>
      <c r="H317" s="33" t="s">
        <v>707</v>
      </c>
      <c r="I317" s="33">
        <v>5000.0</v>
      </c>
    </row>
    <row r="318" ht="22.5" hidden="1" customHeight="1">
      <c r="A318" s="35">
        <v>46234.994998090275</v>
      </c>
      <c r="B318" s="36">
        <v>46172.0</v>
      </c>
      <c r="C318" s="33" t="s">
        <v>64</v>
      </c>
      <c r="D318" s="33" t="s">
        <v>708</v>
      </c>
      <c r="E318" s="38"/>
      <c r="F318" s="33">
        <v>6.89586342E9</v>
      </c>
      <c r="G318" s="38"/>
      <c r="H318" s="33" t="s">
        <v>709</v>
      </c>
      <c r="I318" s="33">
        <v>2230.0</v>
      </c>
    </row>
    <row r="319" ht="22.5" hidden="1" customHeight="1">
      <c r="A319" s="35">
        <v>46234.99554717593</v>
      </c>
      <c r="B319" s="36">
        <v>46173.0</v>
      </c>
      <c r="C319" s="33" t="s">
        <v>50</v>
      </c>
      <c r="D319" s="33" t="s">
        <v>710</v>
      </c>
      <c r="E319" s="33" t="s">
        <v>711</v>
      </c>
      <c r="F319" s="33" t="s">
        <v>712</v>
      </c>
      <c r="G319" s="38"/>
      <c r="H319" s="33" t="s">
        <v>713</v>
      </c>
      <c r="I319" s="33">
        <v>10000.0</v>
      </c>
    </row>
    <row r="320" ht="22.5" hidden="1" customHeight="1">
      <c r="A320" s="35">
        <v>46234.99608671296</v>
      </c>
      <c r="B320" s="36">
        <v>46173.0</v>
      </c>
      <c r="C320" s="33" t="s">
        <v>50</v>
      </c>
      <c r="D320" s="33" t="s">
        <v>710</v>
      </c>
      <c r="E320" s="33" t="s">
        <v>714</v>
      </c>
      <c r="F320" s="33" t="s">
        <v>712</v>
      </c>
      <c r="G320" s="38"/>
      <c r="H320" s="33" t="s">
        <v>715</v>
      </c>
      <c r="I320" s="33">
        <v>10000.0</v>
      </c>
    </row>
    <row r="321" ht="22.5" hidden="1" customHeight="1">
      <c r="A321" s="35">
        <v>46235.000065636574</v>
      </c>
      <c r="B321" s="36">
        <v>46174.0</v>
      </c>
      <c r="C321" s="33" t="s">
        <v>64</v>
      </c>
      <c r="D321" s="33" t="s">
        <v>716</v>
      </c>
      <c r="E321" s="38"/>
      <c r="F321" s="33">
        <v>9.072804123E9</v>
      </c>
      <c r="G321" s="38"/>
      <c r="H321" s="33" t="s">
        <v>717</v>
      </c>
      <c r="I321" s="33">
        <v>5000.0</v>
      </c>
    </row>
    <row r="322" ht="22.5" hidden="1" customHeight="1">
      <c r="A322" s="35">
        <v>46235.00053809027</v>
      </c>
      <c r="B322" s="36">
        <v>46175.0</v>
      </c>
      <c r="C322" s="33" t="s">
        <v>53</v>
      </c>
      <c r="D322" s="33" t="s">
        <v>718</v>
      </c>
      <c r="E322" s="38"/>
      <c r="F322" s="33">
        <v>9.446005483E9</v>
      </c>
      <c r="G322" s="38"/>
      <c r="H322" s="33" t="s">
        <v>719</v>
      </c>
      <c r="I322" s="33">
        <v>25000.0</v>
      </c>
    </row>
    <row r="323" ht="22.5" hidden="1" customHeight="1">
      <c r="A323" s="35">
        <v>46235.00108234954</v>
      </c>
      <c r="B323" s="36">
        <v>46176.0</v>
      </c>
      <c r="C323" s="33" t="s">
        <v>50</v>
      </c>
      <c r="D323" s="33" t="s">
        <v>615</v>
      </c>
      <c r="E323" s="38"/>
      <c r="F323" s="33">
        <v>7.356063316E9</v>
      </c>
      <c r="G323" s="38"/>
      <c r="H323" s="33" t="s">
        <v>720</v>
      </c>
      <c r="I323" s="33">
        <v>5000.0</v>
      </c>
    </row>
    <row r="324" ht="22.5" hidden="1" customHeight="1">
      <c r="A324" s="35">
        <v>46235.0016028588</v>
      </c>
      <c r="B324" s="36">
        <v>46176.0</v>
      </c>
      <c r="C324" s="33" t="s">
        <v>50</v>
      </c>
      <c r="D324" s="31" t="s">
        <v>59</v>
      </c>
      <c r="E324" s="38"/>
      <c r="F324" s="29">
        <v>8.606781572E9</v>
      </c>
      <c r="G324" s="38"/>
      <c r="H324" s="33" t="s">
        <v>721</v>
      </c>
      <c r="I324" s="33">
        <v>4000.0</v>
      </c>
    </row>
    <row r="325" ht="22.5" hidden="1" customHeight="1">
      <c r="A325" s="35">
        <v>46235.00229269676</v>
      </c>
      <c r="B325" s="36">
        <v>46180.0</v>
      </c>
      <c r="C325" s="33" t="s">
        <v>50</v>
      </c>
      <c r="D325" s="29" t="s">
        <v>51</v>
      </c>
      <c r="E325" s="38"/>
      <c r="F325" s="29">
        <v>9.71522263798E11</v>
      </c>
      <c r="G325" s="38"/>
      <c r="H325" s="33" t="s">
        <v>722</v>
      </c>
      <c r="I325" s="33">
        <v>1500.0</v>
      </c>
    </row>
    <row r="326" ht="22.5" hidden="1" customHeight="1">
      <c r="A326" s="35">
        <v>46235.00292193287</v>
      </c>
      <c r="B326" s="36">
        <v>46180.0</v>
      </c>
      <c r="C326" s="33" t="s">
        <v>53</v>
      </c>
      <c r="D326" s="33" t="s">
        <v>723</v>
      </c>
      <c r="E326" s="38"/>
      <c r="F326" s="33">
        <v>9.895020502E9</v>
      </c>
      <c r="G326" s="38"/>
      <c r="H326" s="33" t="s">
        <v>724</v>
      </c>
      <c r="I326" s="33">
        <v>12500.0</v>
      </c>
    </row>
    <row r="327" ht="22.5" hidden="1" customHeight="1">
      <c r="A327" s="35">
        <v>46235.003403553244</v>
      </c>
      <c r="B327" s="36">
        <v>46183.0</v>
      </c>
      <c r="C327" s="33" t="s">
        <v>53</v>
      </c>
      <c r="D327" s="33" t="s">
        <v>725</v>
      </c>
      <c r="E327" s="38"/>
      <c r="F327" s="33">
        <v>6.282443021E9</v>
      </c>
      <c r="G327" s="38"/>
      <c r="H327" s="33" t="s">
        <v>726</v>
      </c>
      <c r="I327" s="33">
        <v>2500.0</v>
      </c>
    </row>
    <row r="328" ht="22.5" hidden="1" customHeight="1">
      <c r="A328" s="35">
        <v>46235.00391322917</v>
      </c>
      <c r="B328" s="36">
        <v>46185.0</v>
      </c>
      <c r="C328" s="33" t="s">
        <v>53</v>
      </c>
      <c r="D328" s="33" t="s">
        <v>727</v>
      </c>
      <c r="E328" s="38"/>
      <c r="F328" s="33">
        <v>8.111985218E9</v>
      </c>
      <c r="G328" s="38"/>
      <c r="H328" s="33" t="s">
        <v>728</v>
      </c>
      <c r="I328" s="33">
        <v>4000.0</v>
      </c>
    </row>
    <row r="329" ht="22.5" hidden="1" customHeight="1">
      <c r="A329" s="35">
        <v>46235.01213737269</v>
      </c>
      <c r="B329" s="36">
        <v>46186.0</v>
      </c>
      <c r="C329" s="33" t="s">
        <v>64</v>
      </c>
      <c r="D329" s="33" t="s">
        <v>729</v>
      </c>
      <c r="E329" s="38"/>
      <c r="F329" s="38"/>
      <c r="G329" s="38"/>
      <c r="H329" s="33" t="s">
        <v>730</v>
      </c>
      <c r="I329" s="33">
        <v>44750.0</v>
      </c>
    </row>
    <row r="330" ht="22.5" hidden="1" customHeight="1">
      <c r="A330" s="35">
        <v>46235.013667997686</v>
      </c>
      <c r="B330" s="36">
        <v>46187.0</v>
      </c>
      <c r="C330" s="33" t="s">
        <v>64</v>
      </c>
      <c r="D330" s="33" t="s">
        <v>731</v>
      </c>
      <c r="E330" s="38"/>
      <c r="F330" s="33">
        <v>7.558831161E9</v>
      </c>
      <c r="G330" s="38"/>
      <c r="H330" s="33" t="s">
        <v>732</v>
      </c>
      <c r="I330" s="33">
        <v>10000.0</v>
      </c>
    </row>
    <row r="331" ht="22.5" hidden="1" customHeight="1">
      <c r="A331" s="35">
        <v>46235.016965891205</v>
      </c>
      <c r="B331" s="36">
        <v>46188.0</v>
      </c>
      <c r="C331" s="33" t="s">
        <v>64</v>
      </c>
      <c r="D331" s="33" t="s">
        <v>494</v>
      </c>
      <c r="E331" s="38"/>
      <c r="F331" s="33">
        <v>9.496355187E9</v>
      </c>
      <c r="G331" s="38"/>
      <c r="H331" s="33" t="s">
        <v>733</v>
      </c>
      <c r="I331" s="33">
        <v>120000.0</v>
      </c>
    </row>
    <row r="332" ht="22.5" hidden="1" customHeight="1">
      <c r="A332" s="35">
        <v>46235.01772314815</v>
      </c>
      <c r="B332" s="36">
        <v>46188.0</v>
      </c>
      <c r="C332" s="33" t="s">
        <v>50</v>
      </c>
      <c r="D332" s="33" t="s">
        <v>734</v>
      </c>
      <c r="E332" s="38"/>
      <c r="F332" s="33">
        <v>9.846338367E9</v>
      </c>
      <c r="G332" s="38"/>
      <c r="H332" s="33" t="s">
        <v>735</v>
      </c>
      <c r="I332" s="33">
        <v>2500.0</v>
      </c>
    </row>
    <row r="333" ht="22.5" hidden="1" customHeight="1">
      <c r="A333" s="35">
        <v>46235.01937297454</v>
      </c>
      <c r="B333" s="36">
        <v>46188.0</v>
      </c>
      <c r="C333" s="33" t="s">
        <v>50</v>
      </c>
      <c r="D333" s="33" t="s">
        <v>510</v>
      </c>
      <c r="E333" s="38"/>
      <c r="F333" s="33" t="s">
        <v>736</v>
      </c>
      <c r="G333" s="38"/>
      <c r="H333" s="33" t="s">
        <v>737</v>
      </c>
      <c r="I333" s="33">
        <v>2500.0</v>
      </c>
    </row>
    <row r="334" ht="22.5" hidden="1" customHeight="1">
      <c r="A334" s="35">
        <v>46235.01988554398</v>
      </c>
      <c r="B334" s="36">
        <v>46188.0</v>
      </c>
      <c r="C334" s="33" t="s">
        <v>50</v>
      </c>
      <c r="D334" s="33" t="s">
        <v>738</v>
      </c>
      <c r="E334" s="38"/>
      <c r="F334" s="33">
        <v>9.745381109E9</v>
      </c>
      <c r="G334" s="38"/>
      <c r="H334" s="33" t="s">
        <v>739</v>
      </c>
      <c r="I334" s="33">
        <v>4200.0</v>
      </c>
    </row>
    <row r="335" ht="22.5" hidden="1" customHeight="1">
      <c r="A335" s="35">
        <v>46235.02030564815</v>
      </c>
      <c r="B335" s="36">
        <v>46188.0</v>
      </c>
      <c r="C335" s="33" t="s">
        <v>50</v>
      </c>
      <c r="D335" s="33" t="s">
        <v>740</v>
      </c>
      <c r="E335" s="38"/>
      <c r="F335" s="33">
        <v>6.238323239E9</v>
      </c>
      <c r="G335" s="38"/>
      <c r="H335" s="33" t="s">
        <v>741</v>
      </c>
      <c r="I335" s="33">
        <v>2000.0</v>
      </c>
    </row>
    <row r="336" ht="22.5" hidden="1" customHeight="1">
      <c r="A336" s="35">
        <v>46235.02072972222</v>
      </c>
      <c r="B336" s="36">
        <v>46188.0</v>
      </c>
      <c r="C336" s="33" t="s">
        <v>50</v>
      </c>
      <c r="D336" s="33" t="s">
        <v>740</v>
      </c>
      <c r="E336" s="38"/>
      <c r="F336" s="33">
        <v>6.238323239E9</v>
      </c>
      <c r="G336" s="38"/>
      <c r="H336" s="33" t="s">
        <v>742</v>
      </c>
      <c r="I336" s="33">
        <v>2000.0</v>
      </c>
    </row>
    <row r="337" ht="22.5" hidden="1" customHeight="1">
      <c r="A337" s="35">
        <v>46235.021122245365</v>
      </c>
      <c r="B337" s="36">
        <v>46188.0</v>
      </c>
      <c r="C337" s="33" t="s">
        <v>50</v>
      </c>
      <c r="D337" s="33" t="s">
        <v>740</v>
      </c>
      <c r="E337" s="38"/>
      <c r="F337" s="33">
        <v>6.238323239E9</v>
      </c>
      <c r="G337" s="38"/>
      <c r="H337" s="33" t="s">
        <v>743</v>
      </c>
      <c r="I337" s="33">
        <v>1000.0</v>
      </c>
    </row>
    <row r="338" ht="22.5" hidden="1" customHeight="1">
      <c r="A338" s="35">
        <v>46235.02276501157</v>
      </c>
      <c r="B338" s="36">
        <v>46189.0</v>
      </c>
      <c r="C338" s="33" t="s">
        <v>64</v>
      </c>
      <c r="D338" s="33" t="s">
        <v>744</v>
      </c>
      <c r="E338" s="33" t="s">
        <v>332</v>
      </c>
      <c r="F338" s="33">
        <v>9.400576946E9</v>
      </c>
      <c r="G338" s="38"/>
      <c r="H338" s="33" t="s">
        <v>745</v>
      </c>
      <c r="I338" s="33">
        <v>10000.0</v>
      </c>
    </row>
    <row r="339" ht="22.5" hidden="1" customHeight="1">
      <c r="A339" s="35">
        <v>46235.02325975694</v>
      </c>
      <c r="B339" s="36">
        <v>46158.0</v>
      </c>
      <c r="C339" s="33" t="s">
        <v>64</v>
      </c>
      <c r="D339" s="33" t="s">
        <v>746</v>
      </c>
      <c r="E339" s="33" t="s">
        <v>332</v>
      </c>
      <c r="F339" s="33">
        <v>9.207339557E9</v>
      </c>
      <c r="G339" s="38"/>
      <c r="H339" s="33" t="s">
        <v>745</v>
      </c>
      <c r="I339" s="33">
        <v>2000.0</v>
      </c>
    </row>
    <row r="340" ht="22.5" hidden="1" customHeight="1">
      <c r="A340" s="35">
        <v>46235.02492553241</v>
      </c>
      <c r="B340" s="36">
        <v>46190.0</v>
      </c>
      <c r="C340" s="33" t="s">
        <v>64</v>
      </c>
      <c r="D340" s="33" t="s">
        <v>747</v>
      </c>
      <c r="E340" s="33" t="s">
        <v>748</v>
      </c>
      <c r="F340" s="33">
        <v>9.746196599E9</v>
      </c>
      <c r="G340" s="38"/>
      <c r="H340" s="33" t="s">
        <v>749</v>
      </c>
      <c r="I340" s="33">
        <v>20000.0</v>
      </c>
    </row>
    <row r="341" ht="22.5" hidden="1" customHeight="1">
      <c r="A341" s="35">
        <v>46235.025803344906</v>
      </c>
      <c r="B341" s="36">
        <v>46190.0</v>
      </c>
      <c r="C341" s="33" t="s">
        <v>64</v>
      </c>
      <c r="D341" s="33" t="s">
        <v>750</v>
      </c>
      <c r="E341" s="33" t="s">
        <v>750</v>
      </c>
      <c r="F341" s="33">
        <v>6.282627881E9</v>
      </c>
      <c r="G341" s="38"/>
      <c r="H341" s="33" t="s">
        <v>749</v>
      </c>
      <c r="I341" s="33">
        <v>8500.0</v>
      </c>
    </row>
    <row r="342" ht="22.5" hidden="1" customHeight="1">
      <c r="A342" s="35">
        <v>46235.02633673611</v>
      </c>
      <c r="B342" s="36">
        <v>46190.0</v>
      </c>
      <c r="C342" s="33" t="s">
        <v>53</v>
      </c>
      <c r="D342" s="33" t="s">
        <v>751</v>
      </c>
      <c r="E342" s="38"/>
      <c r="F342" s="33">
        <v>9.446505447E9</v>
      </c>
      <c r="G342" s="38"/>
      <c r="H342" s="33" t="s">
        <v>752</v>
      </c>
      <c r="I342" s="33">
        <v>18000.0</v>
      </c>
    </row>
    <row r="343" ht="22.5" hidden="1" customHeight="1">
      <c r="A343" s="35">
        <v>46235.0268324537</v>
      </c>
      <c r="B343" s="36">
        <v>46190.0</v>
      </c>
      <c r="C343" s="33" t="s">
        <v>50</v>
      </c>
      <c r="D343" s="33" t="s">
        <v>349</v>
      </c>
      <c r="E343" s="38"/>
      <c r="F343" s="33">
        <v>6.235536872E9</v>
      </c>
      <c r="G343" s="38"/>
      <c r="H343" s="33" t="s">
        <v>753</v>
      </c>
      <c r="I343" s="33">
        <v>2200.0</v>
      </c>
    </row>
    <row r="344" ht="22.5" hidden="1" customHeight="1">
      <c r="A344" s="35">
        <v>46235.02744986111</v>
      </c>
      <c r="B344" s="36">
        <v>46192.0</v>
      </c>
      <c r="C344" s="33" t="s">
        <v>50</v>
      </c>
      <c r="D344" s="33" t="s">
        <v>754</v>
      </c>
      <c r="E344" s="38"/>
      <c r="F344" s="33">
        <v>6.238885206E9</v>
      </c>
      <c r="G344" s="38"/>
      <c r="H344" s="33" t="s">
        <v>755</v>
      </c>
      <c r="I344" s="33">
        <v>500.0</v>
      </c>
    </row>
    <row r="345" ht="22.5" hidden="1" customHeight="1">
      <c r="A345" s="35">
        <v>46235.02788327546</v>
      </c>
      <c r="B345" s="36">
        <v>46192.0</v>
      </c>
      <c r="C345" s="33" t="s">
        <v>50</v>
      </c>
      <c r="D345" s="33" t="s">
        <v>754</v>
      </c>
      <c r="E345" s="38"/>
      <c r="F345" s="33">
        <v>6.238885206E9</v>
      </c>
      <c r="G345" s="38"/>
      <c r="H345" s="33" t="s">
        <v>756</v>
      </c>
      <c r="I345" s="33">
        <v>2500.0</v>
      </c>
    </row>
    <row r="346" ht="22.5" hidden="1" customHeight="1">
      <c r="A346" s="35">
        <v>46235.028585810185</v>
      </c>
      <c r="B346" s="36">
        <v>46198.0</v>
      </c>
      <c r="C346" s="33" t="s">
        <v>64</v>
      </c>
      <c r="D346" s="33" t="s">
        <v>757</v>
      </c>
      <c r="E346" s="38"/>
      <c r="F346" s="33">
        <v>9.847863898E9</v>
      </c>
      <c r="G346" s="38"/>
      <c r="H346" s="33" t="s">
        <v>758</v>
      </c>
      <c r="I346" s="33">
        <v>5000.0</v>
      </c>
    </row>
    <row r="347" ht="22.5" hidden="1" customHeight="1">
      <c r="A347" s="35">
        <v>46235.0293158912</v>
      </c>
      <c r="B347" s="36">
        <v>46198.0</v>
      </c>
      <c r="C347" s="33" t="s">
        <v>64</v>
      </c>
      <c r="D347" s="33" t="s">
        <v>759</v>
      </c>
      <c r="E347" s="38"/>
      <c r="F347" s="33">
        <v>9.715525771E11</v>
      </c>
      <c r="G347" s="38"/>
      <c r="H347" s="33" t="s">
        <v>760</v>
      </c>
      <c r="I347" s="33">
        <v>30000.0</v>
      </c>
    </row>
    <row r="348" ht="22.5" hidden="1" customHeight="1">
      <c r="A348" s="35">
        <v>46235.0298462963</v>
      </c>
      <c r="B348" s="36">
        <v>46198.0</v>
      </c>
      <c r="C348" s="33" t="s">
        <v>64</v>
      </c>
      <c r="D348" s="33" t="s">
        <v>761</v>
      </c>
      <c r="E348" s="38"/>
      <c r="F348" s="33">
        <v>9.7155177036E10</v>
      </c>
      <c r="G348" s="38"/>
      <c r="H348" s="33" t="s">
        <v>762</v>
      </c>
      <c r="I348" s="33">
        <v>30000.0</v>
      </c>
    </row>
    <row r="349" ht="22.5" hidden="1" customHeight="1">
      <c r="A349" s="35">
        <v>46235.03031184028</v>
      </c>
      <c r="B349" s="36">
        <v>46198.0</v>
      </c>
      <c r="C349" s="33" t="s">
        <v>50</v>
      </c>
      <c r="D349" s="33" t="s">
        <v>68</v>
      </c>
      <c r="E349" s="38"/>
      <c r="F349" s="29">
        <v>9.847880118E9</v>
      </c>
      <c r="G349" s="38"/>
      <c r="H349" s="33" t="s">
        <v>763</v>
      </c>
      <c r="I349" s="33">
        <v>4000.0</v>
      </c>
    </row>
    <row r="350" ht="22.5" hidden="1" customHeight="1">
      <c r="A350" s="35">
        <v>46235.03065797454</v>
      </c>
      <c r="B350" s="36">
        <v>46198.0</v>
      </c>
      <c r="C350" s="33" t="s">
        <v>50</v>
      </c>
      <c r="D350" s="33" t="s">
        <v>68</v>
      </c>
      <c r="E350" s="38"/>
      <c r="F350" s="29">
        <v>9.847880118E9</v>
      </c>
      <c r="G350" s="38"/>
      <c r="H350" s="33" t="s">
        <v>764</v>
      </c>
      <c r="I350" s="33">
        <v>2500.0</v>
      </c>
    </row>
    <row r="351" ht="22.5" hidden="1" customHeight="1">
      <c r="A351" s="35">
        <v>46235.4717015625</v>
      </c>
      <c r="B351" s="36">
        <v>45931.0</v>
      </c>
      <c r="C351" s="33" t="s">
        <v>53</v>
      </c>
      <c r="D351" s="31" t="s">
        <v>204</v>
      </c>
      <c r="E351" s="38"/>
      <c r="F351" s="29">
        <v>9.7430216158E10</v>
      </c>
      <c r="G351" s="38"/>
      <c r="H351" s="33" t="s">
        <v>765</v>
      </c>
      <c r="I351" s="33">
        <v>2000.0</v>
      </c>
    </row>
    <row r="352" ht="22.5" hidden="1" customHeight="1">
      <c r="A352" s="35">
        <v>46235.47241472222</v>
      </c>
      <c r="B352" s="36">
        <v>45932.0</v>
      </c>
      <c r="C352" s="33" t="s">
        <v>50</v>
      </c>
      <c r="D352" s="33" t="s">
        <v>766</v>
      </c>
      <c r="E352" s="38"/>
      <c r="F352" s="33">
        <v>9.446775865E9</v>
      </c>
      <c r="G352" s="38"/>
      <c r="H352" s="33" t="s">
        <v>767</v>
      </c>
      <c r="I352" s="33">
        <v>10000.0</v>
      </c>
    </row>
    <row r="353" ht="22.5" hidden="1" customHeight="1">
      <c r="A353" s="35">
        <v>46235.47303695602</v>
      </c>
      <c r="B353" s="36">
        <v>45932.0</v>
      </c>
      <c r="C353" s="33" t="s">
        <v>50</v>
      </c>
      <c r="D353" s="29" t="s">
        <v>57</v>
      </c>
      <c r="E353" s="38"/>
      <c r="F353" s="29">
        <v>8.943021829E9</v>
      </c>
      <c r="G353" s="38"/>
      <c r="H353" s="33" t="s">
        <v>768</v>
      </c>
      <c r="I353" s="33">
        <v>2000.0</v>
      </c>
    </row>
    <row r="354" ht="22.5" hidden="1" customHeight="1">
      <c r="A354" s="35">
        <v>46235.474579999995</v>
      </c>
      <c r="B354" s="36">
        <v>45933.0</v>
      </c>
      <c r="C354" s="33" t="s">
        <v>53</v>
      </c>
      <c r="D354" s="33" t="s">
        <v>769</v>
      </c>
      <c r="E354" s="38"/>
      <c r="F354" s="33">
        <v>9.446738992E9</v>
      </c>
      <c r="G354" s="38"/>
      <c r="H354" s="33" t="s">
        <v>770</v>
      </c>
      <c r="I354" s="33">
        <v>30000.0</v>
      </c>
    </row>
    <row r="355" ht="22.5" hidden="1" customHeight="1">
      <c r="A355" s="35">
        <v>46235.47577636574</v>
      </c>
      <c r="B355" s="36">
        <v>45933.0</v>
      </c>
      <c r="C355" s="33" t="s">
        <v>53</v>
      </c>
      <c r="D355" s="31" t="s">
        <v>54</v>
      </c>
      <c r="E355" s="38"/>
      <c r="F355" s="29">
        <v>9.995598693E9</v>
      </c>
      <c r="G355" s="38"/>
      <c r="H355" s="33" t="s">
        <v>771</v>
      </c>
      <c r="I355" s="33">
        <v>12500.0</v>
      </c>
    </row>
    <row r="356" ht="22.5" hidden="1" customHeight="1">
      <c r="A356" s="35">
        <v>46235.47675873843</v>
      </c>
      <c r="B356" s="36">
        <v>45933.0</v>
      </c>
      <c r="C356" s="33" t="s">
        <v>50</v>
      </c>
      <c r="D356" s="33" t="s">
        <v>772</v>
      </c>
      <c r="E356" s="38"/>
      <c r="F356" s="33">
        <v>9.048468146E9</v>
      </c>
      <c r="G356" s="38"/>
      <c r="H356" s="33" t="s">
        <v>773</v>
      </c>
      <c r="I356" s="33">
        <v>515.0</v>
      </c>
    </row>
    <row r="357" ht="22.5" hidden="1" customHeight="1">
      <c r="A357" s="35">
        <v>46235.47766152778</v>
      </c>
      <c r="B357" s="36">
        <v>45933.0</v>
      </c>
      <c r="C357" s="33" t="s">
        <v>50</v>
      </c>
      <c r="D357" s="29" t="s">
        <v>51</v>
      </c>
      <c r="E357" s="38"/>
      <c r="F357" s="29">
        <v>9.71522263798E11</v>
      </c>
      <c r="G357" s="38"/>
      <c r="H357" s="33" t="s">
        <v>774</v>
      </c>
      <c r="I357" s="33">
        <v>1500.0</v>
      </c>
    </row>
    <row r="358" ht="22.5" hidden="1" customHeight="1">
      <c r="A358" s="35">
        <v>46235.48028329861</v>
      </c>
      <c r="B358" s="36">
        <v>45934.0</v>
      </c>
      <c r="C358" s="33" t="s">
        <v>50</v>
      </c>
      <c r="D358" s="31" t="s">
        <v>59</v>
      </c>
      <c r="E358" s="38"/>
      <c r="F358" s="29">
        <v>8.606781572E9</v>
      </c>
      <c r="G358" s="38"/>
      <c r="H358" s="33" t="s">
        <v>775</v>
      </c>
      <c r="I358" s="33">
        <v>2000.0</v>
      </c>
    </row>
    <row r="359" ht="22.5" hidden="1" customHeight="1">
      <c r="A359" s="35">
        <v>46235.48147960648</v>
      </c>
      <c r="B359" s="36">
        <v>46199.0</v>
      </c>
      <c r="C359" s="33" t="s">
        <v>64</v>
      </c>
      <c r="D359" s="33" t="s">
        <v>776</v>
      </c>
      <c r="E359" s="38"/>
      <c r="F359" s="38"/>
      <c r="G359" s="38"/>
      <c r="H359" s="33" t="s">
        <v>777</v>
      </c>
      <c r="I359" s="33">
        <v>6500.0</v>
      </c>
    </row>
    <row r="360" ht="22.5" hidden="1" customHeight="1">
      <c r="A360" s="35">
        <v>46235.48184435185</v>
      </c>
      <c r="B360" s="36">
        <v>46199.0</v>
      </c>
      <c r="C360" s="33" t="s">
        <v>64</v>
      </c>
      <c r="D360" s="33" t="s">
        <v>778</v>
      </c>
      <c r="E360" s="38"/>
      <c r="F360" s="38"/>
      <c r="G360" s="38"/>
      <c r="H360" s="33" t="s">
        <v>777</v>
      </c>
      <c r="I360" s="33">
        <v>6530.0</v>
      </c>
    </row>
    <row r="361" ht="22.5" hidden="1" customHeight="1">
      <c r="A361" s="35">
        <v>46235.48185759259</v>
      </c>
      <c r="B361" s="36">
        <v>45935.0</v>
      </c>
      <c r="C361" s="33" t="s">
        <v>53</v>
      </c>
      <c r="D361" s="33" t="s">
        <v>779</v>
      </c>
      <c r="E361" s="38"/>
      <c r="F361" s="33">
        <v>9.446505447E9</v>
      </c>
      <c r="G361" s="38"/>
      <c r="H361" s="33" t="s">
        <v>780</v>
      </c>
      <c r="I361" s="33">
        <v>8000.0</v>
      </c>
    </row>
    <row r="362" ht="22.5" hidden="1" customHeight="1">
      <c r="A362" s="35">
        <v>46235.48224355324</v>
      </c>
      <c r="B362" s="36">
        <v>46199.0</v>
      </c>
      <c r="C362" s="33" t="s">
        <v>64</v>
      </c>
      <c r="D362" s="33" t="s">
        <v>781</v>
      </c>
      <c r="E362" s="33" t="s">
        <v>778</v>
      </c>
      <c r="F362" s="38"/>
      <c r="G362" s="38"/>
      <c r="H362" s="33" t="s">
        <v>777</v>
      </c>
      <c r="I362" s="33">
        <v>5212.0</v>
      </c>
    </row>
    <row r="363" ht="22.5" hidden="1" customHeight="1">
      <c r="A363" s="35">
        <v>46235.482611898144</v>
      </c>
      <c r="B363" s="36">
        <v>46199.0</v>
      </c>
      <c r="C363" s="33" t="s">
        <v>64</v>
      </c>
      <c r="D363" s="33" t="s">
        <v>782</v>
      </c>
      <c r="E363" s="33" t="s">
        <v>778</v>
      </c>
      <c r="F363" s="38"/>
      <c r="G363" s="38"/>
      <c r="H363" s="33" t="s">
        <v>777</v>
      </c>
      <c r="I363" s="33">
        <v>5212.0</v>
      </c>
    </row>
    <row r="364" ht="22.5" hidden="1" customHeight="1">
      <c r="A364" s="35">
        <v>46235.482961435184</v>
      </c>
      <c r="B364" s="36">
        <v>46199.0</v>
      </c>
      <c r="C364" s="33" t="s">
        <v>64</v>
      </c>
      <c r="D364" s="33" t="s">
        <v>783</v>
      </c>
      <c r="E364" s="33" t="s">
        <v>778</v>
      </c>
      <c r="F364" s="38"/>
      <c r="G364" s="38"/>
      <c r="H364" s="33" t="s">
        <v>777</v>
      </c>
      <c r="I364" s="33">
        <v>5212.0</v>
      </c>
    </row>
    <row r="365" ht="22.5" hidden="1" customHeight="1">
      <c r="A365" s="35">
        <v>46235.48312936343</v>
      </c>
      <c r="B365" s="36">
        <v>45936.0</v>
      </c>
      <c r="C365" s="33" t="s">
        <v>53</v>
      </c>
      <c r="D365" s="33" t="s">
        <v>784</v>
      </c>
      <c r="E365" s="38"/>
      <c r="F365" s="33" t="s">
        <v>646</v>
      </c>
      <c r="G365" s="38"/>
      <c r="H365" s="33" t="s">
        <v>785</v>
      </c>
      <c r="I365" s="33">
        <v>2500.0</v>
      </c>
    </row>
    <row r="366" ht="22.5" hidden="1" customHeight="1">
      <c r="A366" s="35">
        <v>46235.48333342593</v>
      </c>
      <c r="B366" s="36">
        <v>46199.0</v>
      </c>
      <c r="C366" s="33" t="s">
        <v>64</v>
      </c>
      <c r="D366" s="33" t="s">
        <v>786</v>
      </c>
      <c r="E366" s="33" t="s">
        <v>778</v>
      </c>
      <c r="F366" s="38"/>
      <c r="G366" s="38"/>
      <c r="H366" s="33" t="s">
        <v>777</v>
      </c>
      <c r="I366" s="33">
        <v>7878.0</v>
      </c>
    </row>
    <row r="367" ht="22.5" hidden="1" customHeight="1">
      <c r="A367" s="35">
        <v>46235.48361934027</v>
      </c>
      <c r="B367" s="36">
        <v>46199.0</v>
      </c>
      <c r="C367" s="33" t="s">
        <v>64</v>
      </c>
      <c r="D367" s="33" t="s">
        <v>787</v>
      </c>
      <c r="E367" s="33" t="s">
        <v>778</v>
      </c>
      <c r="F367" s="38"/>
      <c r="G367" s="38"/>
      <c r="H367" s="33" t="s">
        <v>777</v>
      </c>
      <c r="I367" s="33">
        <v>5212.0</v>
      </c>
    </row>
    <row r="368" ht="22.5" hidden="1" customHeight="1">
      <c r="A368" s="35">
        <v>46235.483911250005</v>
      </c>
      <c r="B368" s="36">
        <v>45936.0</v>
      </c>
      <c r="C368" s="33" t="s">
        <v>50</v>
      </c>
      <c r="D368" s="33" t="s">
        <v>68</v>
      </c>
      <c r="E368" s="38"/>
      <c r="F368" s="29">
        <v>9.847880118E9</v>
      </c>
      <c r="G368" s="38"/>
      <c r="H368" s="33" t="s">
        <v>788</v>
      </c>
      <c r="I368" s="33">
        <v>2500.0</v>
      </c>
    </row>
    <row r="369" ht="22.5" hidden="1" customHeight="1">
      <c r="A369" s="35">
        <v>46235.48403342592</v>
      </c>
      <c r="B369" s="36">
        <v>46199.0</v>
      </c>
      <c r="C369" s="33" t="s">
        <v>64</v>
      </c>
      <c r="D369" s="33" t="s">
        <v>789</v>
      </c>
      <c r="E369" s="33" t="s">
        <v>778</v>
      </c>
      <c r="F369" s="38"/>
      <c r="G369" s="38"/>
      <c r="H369" s="33" t="s">
        <v>777</v>
      </c>
      <c r="I369" s="33">
        <v>2606.0</v>
      </c>
    </row>
    <row r="370" ht="22.5" hidden="1" customHeight="1">
      <c r="A370" s="35">
        <v>46235.48436103009</v>
      </c>
      <c r="B370" s="36">
        <v>46199.0</v>
      </c>
      <c r="C370" s="33" t="s">
        <v>64</v>
      </c>
      <c r="D370" s="33" t="s">
        <v>790</v>
      </c>
      <c r="E370" s="33" t="s">
        <v>778</v>
      </c>
      <c r="F370" s="38"/>
      <c r="G370" s="38"/>
      <c r="H370" s="33" t="s">
        <v>777</v>
      </c>
      <c r="I370" s="33">
        <v>2606.0</v>
      </c>
    </row>
    <row r="371" ht="22.5" hidden="1" customHeight="1">
      <c r="A371" s="35">
        <v>46235.484732233796</v>
      </c>
      <c r="B371" s="36">
        <v>46199.0</v>
      </c>
      <c r="C371" s="33" t="s">
        <v>64</v>
      </c>
      <c r="D371" s="33" t="s">
        <v>791</v>
      </c>
      <c r="E371" s="33" t="s">
        <v>778</v>
      </c>
      <c r="F371" s="38"/>
      <c r="G371" s="38"/>
      <c r="H371" s="33" t="s">
        <v>777</v>
      </c>
      <c r="I371" s="33">
        <v>2606.0</v>
      </c>
    </row>
    <row r="372" ht="22.5" hidden="1" customHeight="1">
      <c r="A372" s="35">
        <v>46235.48527175926</v>
      </c>
      <c r="B372" s="36">
        <v>46199.0</v>
      </c>
      <c r="C372" s="33" t="s">
        <v>64</v>
      </c>
      <c r="D372" s="33" t="s">
        <v>792</v>
      </c>
      <c r="E372" s="33" t="s">
        <v>778</v>
      </c>
      <c r="F372" s="38"/>
      <c r="G372" s="38"/>
      <c r="H372" s="33" t="s">
        <v>777</v>
      </c>
      <c r="I372" s="33">
        <v>2606.0</v>
      </c>
    </row>
    <row r="373" ht="22.5" hidden="1" customHeight="1">
      <c r="A373" s="35">
        <v>46235.485811192135</v>
      </c>
      <c r="B373" s="36">
        <v>46199.0</v>
      </c>
      <c r="C373" s="33" t="s">
        <v>64</v>
      </c>
      <c r="D373" s="33" t="s">
        <v>793</v>
      </c>
      <c r="E373" s="33" t="s">
        <v>778</v>
      </c>
      <c r="F373" s="38"/>
      <c r="G373" s="38"/>
      <c r="H373" s="33" t="s">
        <v>777</v>
      </c>
      <c r="I373" s="33">
        <v>2606.0</v>
      </c>
    </row>
    <row r="374" ht="22.5" hidden="1" customHeight="1">
      <c r="A374" s="35">
        <v>46235.486079988426</v>
      </c>
      <c r="B374" s="36">
        <v>45939.0</v>
      </c>
      <c r="C374" s="33" t="s">
        <v>53</v>
      </c>
      <c r="D374" s="33" t="s">
        <v>794</v>
      </c>
      <c r="E374" s="38"/>
      <c r="F374" s="33">
        <v>5.28277089602E11</v>
      </c>
      <c r="G374" s="38"/>
      <c r="H374" s="33" t="s">
        <v>795</v>
      </c>
      <c r="I374" s="33">
        <v>500.0</v>
      </c>
    </row>
    <row r="375" ht="22.5" hidden="1" customHeight="1">
      <c r="A375" s="35">
        <v>46235.486178125</v>
      </c>
      <c r="B375" s="36">
        <v>46199.0</v>
      </c>
      <c r="C375" s="33" t="s">
        <v>64</v>
      </c>
      <c r="D375" s="33" t="s">
        <v>796</v>
      </c>
      <c r="E375" s="33" t="s">
        <v>778</v>
      </c>
      <c r="F375" s="38"/>
      <c r="G375" s="38"/>
      <c r="H375" s="33" t="s">
        <v>777</v>
      </c>
      <c r="I375" s="33">
        <v>2606.0</v>
      </c>
    </row>
    <row r="376" ht="22.5" hidden="1" customHeight="1">
      <c r="A376" s="35">
        <v>46235.486976886576</v>
      </c>
      <c r="B376" s="36">
        <v>45941.0</v>
      </c>
      <c r="C376" s="33" t="s">
        <v>53</v>
      </c>
      <c r="D376" s="33" t="s">
        <v>797</v>
      </c>
      <c r="E376" s="38"/>
      <c r="F376" s="33">
        <v>8.111985218E9</v>
      </c>
      <c r="G376" s="38"/>
      <c r="H376" s="33" t="s">
        <v>798</v>
      </c>
      <c r="I376" s="33">
        <v>2000.0</v>
      </c>
    </row>
    <row r="377" ht="22.5" hidden="1" customHeight="1">
      <c r="A377" s="35">
        <v>46235.48907952546</v>
      </c>
      <c r="B377" s="36">
        <v>45941.0</v>
      </c>
      <c r="C377" s="33" t="s">
        <v>50</v>
      </c>
      <c r="D377" s="33" t="s">
        <v>799</v>
      </c>
      <c r="E377" s="38"/>
      <c r="F377" s="33">
        <v>8.137809956E9</v>
      </c>
      <c r="G377" s="38"/>
      <c r="H377" s="33" t="s">
        <v>800</v>
      </c>
      <c r="I377" s="33">
        <v>12000.0</v>
      </c>
    </row>
    <row r="378" ht="22.5" hidden="1" customHeight="1">
      <c r="A378" s="35">
        <v>46235.48987802083</v>
      </c>
      <c r="B378" s="36">
        <v>45941.0</v>
      </c>
      <c r="C378" s="33" t="s">
        <v>50</v>
      </c>
      <c r="D378" s="33" t="s">
        <v>801</v>
      </c>
      <c r="E378" s="38"/>
      <c r="F378" s="33">
        <v>9.061996104E9</v>
      </c>
      <c r="G378" s="38"/>
      <c r="H378" s="33" t="s">
        <v>802</v>
      </c>
      <c r="I378" s="33">
        <v>5000.0</v>
      </c>
    </row>
    <row r="379" ht="22.5" hidden="1" customHeight="1">
      <c r="A379" s="35">
        <v>46235.490471805555</v>
      </c>
      <c r="B379" s="36">
        <v>45943.0</v>
      </c>
      <c r="C379" s="33" t="s">
        <v>53</v>
      </c>
      <c r="D379" s="33" t="s">
        <v>803</v>
      </c>
      <c r="E379" s="38"/>
      <c r="F379" s="33">
        <v>9.495920363E9</v>
      </c>
      <c r="G379" s="38"/>
      <c r="H379" s="33" t="s">
        <v>804</v>
      </c>
      <c r="I379" s="33">
        <v>2000.0</v>
      </c>
    </row>
    <row r="380" ht="22.5" hidden="1" customHeight="1">
      <c r="A380" s="35">
        <v>46235.491393819444</v>
      </c>
      <c r="B380" s="36">
        <v>45947.0</v>
      </c>
      <c r="C380" s="33" t="s">
        <v>53</v>
      </c>
      <c r="D380" s="33" t="s">
        <v>805</v>
      </c>
      <c r="E380" s="38"/>
      <c r="F380" s="33">
        <v>9.447541357E9</v>
      </c>
      <c r="G380" s="38"/>
      <c r="H380" s="33" t="s">
        <v>806</v>
      </c>
      <c r="I380" s="33">
        <v>2000.0</v>
      </c>
    </row>
    <row r="381" ht="22.5" hidden="1" customHeight="1">
      <c r="A381" s="35">
        <v>46235.492145729164</v>
      </c>
      <c r="B381" s="36">
        <v>45952.0</v>
      </c>
      <c r="C381" s="33" t="s">
        <v>53</v>
      </c>
      <c r="D381" s="33" t="s">
        <v>807</v>
      </c>
      <c r="E381" s="38"/>
      <c r="F381" s="33">
        <v>9.447418773E9</v>
      </c>
      <c r="G381" s="38"/>
      <c r="H381" s="33" t="s">
        <v>808</v>
      </c>
      <c r="I381" s="33">
        <v>60000.0</v>
      </c>
    </row>
    <row r="382" ht="22.5" hidden="1" customHeight="1">
      <c r="A382" s="35">
        <v>46235.49271207176</v>
      </c>
      <c r="B382" s="36">
        <v>46199.0</v>
      </c>
      <c r="C382" s="33" t="s">
        <v>64</v>
      </c>
      <c r="D382" s="33" t="s">
        <v>809</v>
      </c>
      <c r="E382" s="33" t="s">
        <v>778</v>
      </c>
      <c r="F382" s="38"/>
      <c r="G382" s="38"/>
      <c r="H382" s="33" t="s">
        <v>777</v>
      </c>
      <c r="I382" s="33">
        <v>2606.0</v>
      </c>
    </row>
    <row r="383" ht="22.5" hidden="1" customHeight="1">
      <c r="A383" s="35">
        <v>46235.49278990741</v>
      </c>
      <c r="B383" s="36">
        <v>45952.0</v>
      </c>
      <c r="C383" s="33" t="s">
        <v>53</v>
      </c>
      <c r="D383" s="33" t="s">
        <v>810</v>
      </c>
      <c r="E383" s="38"/>
      <c r="F383" s="33">
        <v>9.447418773E9</v>
      </c>
      <c r="G383" s="38"/>
      <c r="H383" s="33" t="s">
        <v>811</v>
      </c>
      <c r="I383" s="33">
        <v>20000.0</v>
      </c>
    </row>
    <row r="384" ht="22.5" hidden="1" customHeight="1">
      <c r="A384" s="35">
        <v>46235.49307285879</v>
      </c>
      <c r="B384" s="36">
        <v>46199.0</v>
      </c>
      <c r="C384" s="33" t="s">
        <v>64</v>
      </c>
      <c r="D384" s="33" t="s">
        <v>812</v>
      </c>
      <c r="E384" s="33" t="s">
        <v>778</v>
      </c>
      <c r="F384" s="38"/>
      <c r="G384" s="38"/>
      <c r="H384" s="33" t="s">
        <v>777</v>
      </c>
      <c r="I384" s="33">
        <v>2606.0</v>
      </c>
    </row>
    <row r="385" ht="22.5" hidden="1" customHeight="1">
      <c r="A385" s="35">
        <v>46235.493409560186</v>
      </c>
      <c r="B385" s="36">
        <v>45952.0</v>
      </c>
      <c r="C385" s="33" t="s">
        <v>53</v>
      </c>
      <c r="D385" s="33" t="s">
        <v>810</v>
      </c>
      <c r="E385" s="38"/>
      <c r="F385" s="33">
        <v>9.447418773E9</v>
      </c>
      <c r="G385" s="38"/>
      <c r="H385" s="33" t="s">
        <v>813</v>
      </c>
      <c r="I385" s="33">
        <v>5000.0</v>
      </c>
    </row>
    <row r="386" ht="22.5" hidden="1" customHeight="1">
      <c r="A386" s="35">
        <v>46235.49344237268</v>
      </c>
      <c r="B386" s="36">
        <v>46199.0</v>
      </c>
      <c r="C386" s="33" t="s">
        <v>64</v>
      </c>
      <c r="D386" s="33" t="s">
        <v>814</v>
      </c>
      <c r="E386" s="33" t="s">
        <v>778</v>
      </c>
      <c r="F386" s="38"/>
      <c r="G386" s="38"/>
      <c r="H386" s="33" t="s">
        <v>777</v>
      </c>
      <c r="I386" s="33">
        <v>2606.0</v>
      </c>
    </row>
    <row r="387" ht="22.5" hidden="1" customHeight="1">
      <c r="A387" s="35">
        <v>46235.493935509265</v>
      </c>
      <c r="B387" s="36">
        <v>46199.0</v>
      </c>
      <c r="C387" s="33" t="s">
        <v>64</v>
      </c>
      <c r="D387" s="33" t="s">
        <v>815</v>
      </c>
      <c r="E387" s="33" t="s">
        <v>778</v>
      </c>
      <c r="F387" s="38"/>
      <c r="G387" s="38"/>
      <c r="H387" s="33" t="s">
        <v>777</v>
      </c>
      <c r="I387" s="33">
        <v>2606.0</v>
      </c>
    </row>
    <row r="388" ht="22.5" hidden="1" customHeight="1">
      <c r="A388" s="35">
        <v>46235.4941628588</v>
      </c>
      <c r="B388" s="36">
        <v>45952.0</v>
      </c>
      <c r="C388" s="33" t="s">
        <v>50</v>
      </c>
      <c r="D388" s="33" t="s">
        <v>807</v>
      </c>
      <c r="E388" s="38"/>
      <c r="F388" s="33">
        <v>9.447418773E9</v>
      </c>
      <c r="G388" s="38"/>
      <c r="H388" s="33" t="s">
        <v>816</v>
      </c>
      <c r="I388" s="33">
        <v>40000.0</v>
      </c>
    </row>
    <row r="389" ht="22.5" hidden="1" customHeight="1">
      <c r="A389" s="35">
        <v>46235.49427574074</v>
      </c>
      <c r="B389" s="36">
        <v>46199.0</v>
      </c>
      <c r="C389" s="33" t="s">
        <v>64</v>
      </c>
      <c r="D389" s="33" t="s">
        <v>817</v>
      </c>
      <c r="E389" s="33" t="s">
        <v>778</v>
      </c>
      <c r="F389" s="38"/>
      <c r="G389" s="38"/>
      <c r="H389" s="33" t="s">
        <v>777</v>
      </c>
      <c r="I389" s="33">
        <v>2606.0</v>
      </c>
    </row>
    <row r="390" ht="22.5" hidden="1" customHeight="1">
      <c r="A390" s="35">
        <v>46235.49459332176</v>
      </c>
      <c r="B390" s="36">
        <v>46199.0</v>
      </c>
      <c r="C390" s="33" t="s">
        <v>64</v>
      </c>
      <c r="D390" s="33" t="s">
        <v>818</v>
      </c>
      <c r="E390" s="33" t="s">
        <v>778</v>
      </c>
      <c r="F390" s="38"/>
      <c r="G390" s="38"/>
      <c r="H390" s="33" t="s">
        <v>777</v>
      </c>
      <c r="I390" s="33">
        <v>2606.0</v>
      </c>
    </row>
    <row r="391" ht="22.5" hidden="1" customHeight="1">
      <c r="A391" s="35">
        <v>46235.49498903935</v>
      </c>
      <c r="B391" s="36">
        <v>45953.0</v>
      </c>
      <c r="C391" s="33" t="s">
        <v>53</v>
      </c>
      <c r="D391" s="33" t="s">
        <v>819</v>
      </c>
      <c r="E391" s="38"/>
      <c r="F391" s="33">
        <v>7.034093667E9</v>
      </c>
      <c r="G391" s="38"/>
      <c r="H391" s="33" t="s">
        <v>820</v>
      </c>
      <c r="I391" s="33">
        <v>20000.0</v>
      </c>
    </row>
    <row r="392" ht="22.5" hidden="1" customHeight="1">
      <c r="A392" s="35">
        <v>46235.49522133102</v>
      </c>
      <c r="B392" s="36">
        <v>46199.0</v>
      </c>
      <c r="C392" s="33" t="s">
        <v>64</v>
      </c>
      <c r="D392" s="33" t="s">
        <v>821</v>
      </c>
      <c r="E392" s="33" t="s">
        <v>778</v>
      </c>
      <c r="F392" s="38"/>
      <c r="G392" s="38"/>
      <c r="H392" s="33" t="s">
        <v>777</v>
      </c>
      <c r="I392" s="33">
        <v>2606.0</v>
      </c>
    </row>
    <row r="393" ht="22.5" hidden="1" customHeight="1">
      <c r="A393" s="35">
        <v>46235.49553699074</v>
      </c>
      <c r="B393" s="36">
        <v>46199.0</v>
      </c>
      <c r="C393" s="33" t="s">
        <v>64</v>
      </c>
      <c r="D393" s="33" t="s">
        <v>822</v>
      </c>
      <c r="E393" s="33" t="s">
        <v>778</v>
      </c>
      <c r="F393" s="38"/>
      <c r="G393" s="38"/>
      <c r="H393" s="33" t="s">
        <v>777</v>
      </c>
      <c r="I393" s="33">
        <v>2606.0</v>
      </c>
    </row>
    <row r="394" ht="22.5" hidden="1" customHeight="1">
      <c r="A394" s="35">
        <v>46235.49565561343</v>
      </c>
      <c r="B394" s="36">
        <v>45954.0</v>
      </c>
      <c r="C394" s="33" t="s">
        <v>50</v>
      </c>
      <c r="D394" s="33" t="s">
        <v>68</v>
      </c>
      <c r="E394" s="38"/>
      <c r="F394" s="29">
        <v>9.847880118E9</v>
      </c>
      <c r="G394" s="38"/>
      <c r="H394" s="33" t="s">
        <v>823</v>
      </c>
      <c r="I394" s="33">
        <v>4000.0</v>
      </c>
    </row>
    <row r="395" ht="22.5" hidden="1" customHeight="1">
      <c r="A395" s="35">
        <v>46235.49591849537</v>
      </c>
      <c r="B395" s="36">
        <v>46199.0</v>
      </c>
      <c r="C395" s="33" t="s">
        <v>64</v>
      </c>
      <c r="D395" s="33" t="s">
        <v>824</v>
      </c>
      <c r="E395" s="33" t="s">
        <v>778</v>
      </c>
      <c r="F395" s="38"/>
      <c r="G395" s="38"/>
      <c r="H395" s="33" t="s">
        <v>777</v>
      </c>
      <c r="I395" s="33">
        <v>2606.0</v>
      </c>
    </row>
    <row r="396" ht="22.5" hidden="1" customHeight="1">
      <c r="A396" s="35">
        <v>46235.49619327547</v>
      </c>
      <c r="B396" s="36">
        <v>45954.0</v>
      </c>
      <c r="C396" s="33" t="s">
        <v>50</v>
      </c>
      <c r="D396" s="33" t="s">
        <v>178</v>
      </c>
      <c r="E396" s="38"/>
      <c r="F396" s="33">
        <v>6.235536872E9</v>
      </c>
      <c r="G396" s="38"/>
      <c r="H396" s="33" t="s">
        <v>825</v>
      </c>
      <c r="I396" s="33">
        <v>2700.0</v>
      </c>
    </row>
    <row r="397" ht="22.5" hidden="1" customHeight="1">
      <c r="A397" s="35">
        <v>46235.49646976852</v>
      </c>
      <c r="B397" s="36">
        <v>46199.0</v>
      </c>
      <c r="C397" s="33" t="s">
        <v>64</v>
      </c>
      <c r="D397" s="33" t="s">
        <v>826</v>
      </c>
      <c r="E397" s="33" t="s">
        <v>778</v>
      </c>
      <c r="F397" s="38"/>
      <c r="G397" s="38"/>
      <c r="H397" s="33" t="s">
        <v>777</v>
      </c>
      <c r="I397" s="33">
        <v>2606.0</v>
      </c>
    </row>
    <row r="398" ht="22.5" hidden="1" customHeight="1">
      <c r="A398" s="35">
        <v>46235.49677445602</v>
      </c>
      <c r="B398" s="36">
        <v>46199.0</v>
      </c>
      <c r="C398" s="33" t="s">
        <v>64</v>
      </c>
      <c r="D398" s="33" t="s">
        <v>827</v>
      </c>
      <c r="E398" s="33" t="s">
        <v>778</v>
      </c>
      <c r="F398" s="38"/>
      <c r="G398" s="38"/>
      <c r="H398" s="33" t="s">
        <v>777</v>
      </c>
      <c r="I398" s="33">
        <v>2608.0</v>
      </c>
    </row>
    <row r="399" ht="22.5" hidden="1" customHeight="1">
      <c r="A399" s="35">
        <v>46235.510461770835</v>
      </c>
      <c r="B399" s="36">
        <v>46199.0</v>
      </c>
      <c r="C399" s="33" t="s">
        <v>64</v>
      </c>
      <c r="D399" s="33" t="s">
        <v>778</v>
      </c>
      <c r="E399" s="33" t="s">
        <v>778</v>
      </c>
      <c r="F399" s="38"/>
      <c r="G399" s="38"/>
      <c r="H399" s="33" t="s">
        <v>828</v>
      </c>
      <c r="I399" s="33">
        <v>7510.0</v>
      </c>
    </row>
    <row r="400" ht="22.5" hidden="1" customHeight="1">
      <c r="A400" s="35">
        <v>46235.510725381944</v>
      </c>
      <c r="B400" s="36">
        <v>46199.0</v>
      </c>
      <c r="C400" s="33" t="s">
        <v>64</v>
      </c>
      <c r="D400" s="33" t="s">
        <v>778</v>
      </c>
      <c r="E400" s="33" t="s">
        <v>778</v>
      </c>
      <c r="F400" s="38"/>
      <c r="G400" s="38"/>
      <c r="H400" s="33" t="s">
        <v>828</v>
      </c>
      <c r="I400" s="33">
        <v>6000.0</v>
      </c>
    </row>
    <row r="401" ht="22.5" hidden="1" customHeight="1">
      <c r="A401" s="35">
        <v>46235.511552129625</v>
      </c>
      <c r="B401" s="36">
        <v>46199.0</v>
      </c>
      <c r="C401" s="33" t="s">
        <v>64</v>
      </c>
      <c r="D401" s="33" t="s">
        <v>781</v>
      </c>
      <c r="E401" s="33" t="s">
        <v>778</v>
      </c>
      <c r="F401" s="38"/>
      <c r="G401" s="38"/>
      <c r="H401" s="33" t="s">
        <v>828</v>
      </c>
      <c r="I401" s="33">
        <v>5405.0</v>
      </c>
    </row>
    <row r="402" ht="22.5" hidden="1" customHeight="1">
      <c r="A402" s="35">
        <v>46235.511892372684</v>
      </c>
      <c r="B402" s="36">
        <v>46199.0</v>
      </c>
      <c r="C402" s="33" t="s">
        <v>64</v>
      </c>
      <c r="D402" s="33" t="s">
        <v>829</v>
      </c>
      <c r="E402" s="33" t="s">
        <v>778</v>
      </c>
      <c r="F402" s="38"/>
      <c r="G402" s="38"/>
      <c r="H402" s="33" t="s">
        <v>828</v>
      </c>
      <c r="I402" s="33">
        <v>5405.0</v>
      </c>
    </row>
    <row r="403" ht="22.5" hidden="1" customHeight="1">
      <c r="A403" s="35">
        <v>46235.51243166666</v>
      </c>
      <c r="B403" s="36">
        <v>46199.0</v>
      </c>
      <c r="C403" s="33" t="s">
        <v>64</v>
      </c>
      <c r="D403" s="33" t="s">
        <v>783</v>
      </c>
      <c r="E403" s="33" t="s">
        <v>778</v>
      </c>
      <c r="F403" s="38"/>
      <c r="G403" s="38"/>
      <c r="H403" s="33" t="s">
        <v>828</v>
      </c>
      <c r="I403" s="33">
        <v>5405.0</v>
      </c>
    </row>
    <row r="404" ht="22.5" hidden="1" customHeight="1">
      <c r="A404" s="35">
        <v>46235.51284681713</v>
      </c>
      <c r="B404" s="36">
        <v>46199.0</v>
      </c>
      <c r="C404" s="33" t="s">
        <v>64</v>
      </c>
      <c r="D404" s="33" t="s">
        <v>786</v>
      </c>
      <c r="E404" s="33" t="s">
        <v>778</v>
      </c>
      <c r="F404" s="38"/>
      <c r="G404" s="38"/>
      <c r="H404" s="33" t="s">
        <v>828</v>
      </c>
      <c r="I404" s="33">
        <v>8108.0</v>
      </c>
    </row>
    <row r="405" ht="22.5" hidden="1" customHeight="1">
      <c r="A405" s="35">
        <v>46235.513723888886</v>
      </c>
      <c r="B405" s="36">
        <v>46199.0</v>
      </c>
      <c r="C405" s="33" t="s">
        <v>64</v>
      </c>
      <c r="D405" s="33" t="s">
        <v>787</v>
      </c>
      <c r="E405" s="33" t="s">
        <v>830</v>
      </c>
      <c r="F405" s="38"/>
      <c r="G405" s="38"/>
      <c r="H405" s="33" t="s">
        <v>828</v>
      </c>
      <c r="I405" s="33">
        <v>5405.0</v>
      </c>
    </row>
    <row r="406" ht="22.5" hidden="1" customHeight="1">
      <c r="A406" s="35">
        <v>46235.514353923616</v>
      </c>
      <c r="B406" s="36">
        <v>46199.0</v>
      </c>
      <c r="C406" s="33" t="s">
        <v>64</v>
      </c>
      <c r="D406" s="33" t="s">
        <v>789</v>
      </c>
      <c r="E406" s="33" t="s">
        <v>778</v>
      </c>
      <c r="F406" s="38"/>
      <c r="G406" s="38"/>
      <c r="H406" s="33" t="s">
        <v>828</v>
      </c>
      <c r="I406" s="33">
        <v>2702.0</v>
      </c>
    </row>
    <row r="407" ht="22.5" hidden="1" customHeight="1">
      <c r="A407" s="35">
        <v>46235.514694375</v>
      </c>
      <c r="B407" s="36">
        <v>46199.0</v>
      </c>
      <c r="C407" s="33" t="s">
        <v>64</v>
      </c>
      <c r="D407" s="33" t="s">
        <v>790</v>
      </c>
      <c r="E407" s="33" t="s">
        <v>778</v>
      </c>
      <c r="F407" s="38"/>
      <c r="G407" s="38"/>
      <c r="H407" s="33" t="s">
        <v>828</v>
      </c>
      <c r="I407" s="33">
        <v>2702.0</v>
      </c>
    </row>
    <row r="408" ht="22.5" hidden="1" customHeight="1">
      <c r="A408" s="35">
        <v>46235.51640496528</v>
      </c>
      <c r="B408" s="36">
        <v>46199.0</v>
      </c>
      <c r="C408" s="33" t="s">
        <v>64</v>
      </c>
      <c r="D408" s="33" t="s">
        <v>791</v>
      </c>
      <c r="E408" s="33" t="s">
        <v>776</v>
      </c>
      <c r="F408" s="38"/>
      <c r="G408" s="38"/>
      <c r="H408" s="33" t="s">
        <v>828</v>
      </c>
      <c r="I408" s="33">
        <v>2702.0</v>
      </c>
    </row>
    <row r="409" ht="22.5" hidden="1" customHeight="1">
      <c r="A409" s="35">
        <v>46235.51674777778</v>
      </c>
      <c r="B409" s="36">
        <v>46199.0</v>
      </c>
      <c r="C409" s="33" t="s">
        <v>64</v>
      </c>
      <c r="D409" s="33" t="s">
        <v>792</v>
      </c>
      <c r="E409" s="33" t="s">
        <v>778</v>
      </c>
      <c r="F409" s="38"/>
      <c r="G409" s="38"/>
      <c r="H409" s="33" t="s">
        <v>828</v>
      </c>
      <c r="I409" s="33">
        <v>2702.0</v>
      </c>
    </row>
    <row r="410" ht="22.5" hidden="1" customHeight="1">
      <c r="A410" s="35">
        <v>46235.51783202546</v>
      </c>
      <c r="B410" s="36">
        <v>46199.0</v>
      </c>
      <c r="C410" s="33" t="s">
        <v>64</v>
      </c>
      <c r="D410" s="33" t="s">
        <v>831</v>
      </c>
      <c r="E410" s="33" t="s">
        <v>778</v>
      </c>
      <c r="F410" s="38"/>
      <c r="G410" s="38"/>
      <c r="H410" s="33" t="s">
        <v>828</v>
      </c>
      <c r="I410" s="33">
        <v>2702.0</v>
      </c>
    </row>
    <row r="411" ht="22.5" hidden="1" customHeight="1">
      <c r="A411" s="35">
        <v>46235.51838674769</v>
      </c>
      <c r="B411" s="36">
        <v>46199.0</v>
      </c>
      <c r="C411" s="33" t="s">
        <v>64</v>
      </c>
      <c r="D411" s="33" t="s">
        <v>796</v>
      </c>
      <c r="E411" s="33" t="s">
        <v>778</v>
      </c>
      <c r="F411" s="38"/>
      <c r="G411" s="38"/>
      <c r="H411" s="33" t="s">
        <v>828</v>
      </c>
      <c r="I411" s="33">
        <v>2702.0</v>
      </c>
    </row>
    <row r="412" ht="22.5" hidden="1" customHeight="1">
      <c r="A412" s="35">
        <v>46235.519348437505</v>
      </c>
      <c r="B412" s="36">
        <v>46199.0</v>
      </c>
      <c r="C412" s="33" t="s">
        <v>64</v>
      </c>
      <c r="D412" s="33" t="s">
        <v>809</v>
      </c>
      <c r="E412" s="33" t="s">
        <v>778</v>
      </c>
      <c r="F412" s="38"/>
      <c r="G412" s="38"/>
      <c r="H412" s="33" t="s">
        <v>828</v>
      </c>
      <c r="I412" s="33">
        <v>2702.0</v>
      </c>
    </row>
    <row r="413" ht="22.5" hidden="1" customHeight="1">
      <c r="A413" s="35">
        <v>46235.51976797453</v>
      </c>
      <c r="B413" s="36">
        <v>46199.0</v>
      </c>
      <c r="C413" s="33" t="s">
        <v>64</v>
      </c>
      <c r="D413" s="33" t="s">
        <v>812</v>
      </c>
      <c r="E413" s="33" t="s">
        <v>778</v>
      </c>
      <c r="F413" s="38"/>
      <c r="G413" s="38"/>
      <c r="H413" s="33" t="s">
        <v>828</v>
      </c>
      <c r="I413" s="33">
        <v>2702.0</v>
      </c>
    </row>
    <row r="414" ht="22.5" hidden="1" customHeight="1">
      <c r="A414" s="35">
        <v>46235.52016255787</v>
      </c>
      <c r="B414" s="36">
        <v>46199.0</v>
      </c>
      <c r="C414" s="33" t="s">
        <v>64</v>
      </c>
      <c r="D414" s="33" t="s">
        <v>832</v>
      </c>
      <c r="E414" s="33" t="s">
        <v>778</v>
      </c>
      <c r="F414" s="38"/>
      <c r="G414" s="38"/>
      <c r="H414" s="33" t="s">
        <v>828</v>
      </c>
      <c r="I414" s="33">
        <v>2702.0</v>
      </c>
    </row>
    <row r="415" ht="22.5" hidden="1" customHeight="1">
      <c r="A415" s="35">
        <v>46235.520459224535</v>
      </c>
      <c r="B415" s="36">
        <v>46199.0</v>
      </c>
      <c r="C415" s="33" t="s">
        <v>64</v>
      </c>
      <c r="D415" s="33" t="s">
        <v>815</v>
      </c>
      <c r="E415" s="33" t="s">
        <v>778</v>
      </c>
      <c r="F415" s="38"/>
      <c r="G415" s="38"/>
      <c r="H415" s="33" t="s">
        <v>828</v>
      </c>
      <c r="I415" s="33">
        <v>2702.0</v>
      </c>
    </row>
    <row r="416" ht="22.5" hidden="1" customHeight="1">
      <c r="A416" s="35">
        <v>46235.52083181713</v>
      </c>
      <c r="B416" s="36">
        <v>46199.0</v>
      </c>
      <c r="C416" s="33" t="s">
        <v>64</v>
      </c>
      <c r="D416" s="33" t="s">
        <v>817</v>
      </c>
      <c r="E416" s="33" t="s">
        <v>778</v>
      </c>
      <c r="F416" s="38"/>
      <c r="G416" s="38"/>
      <c r="H416" s="33" t="s">
        <v>828</v>
      </c>
      <c r="I416" s="33">
        <v>2702.0</v>
      </c>
    </row>
    <row r="417" ht="22.5" hidden="1" customHeight="1">
      <c r="A417" s="35">
        <v>46235.52113630787</v>
      </c>
      <c r="B417" s="36">
        <v>46199.0</v>
      </c>
      <c r="C417" s="33" t="s">
        <v>64</v>
      </c>
      <c r="D417" s="33" t="s">
        <v>818</v>
      </c>
      <c r="E417" s="33" t="s">
        <v>776</v>
      </c>
      <c r="F417" s="38"/>
      <c r="G417" s="38"/>
      <c r="H417" s="33" t="s">
        <v>828</v>
      </c>
      <c r="I417" s="33">
        <v>2702.0</v>
      </c>
    </row>
    <row r="418" ht="22.5" hidden="1" customHeight="1">
      <c r="A418" s="35">
        <v>46235.52184770833</v>
      </c>
      <c r="B418" s="36">
        <v>46199.0</v>
      </c>
      <c r="C418" s="33" t="s">
        <v>64</v>
      </c>
      <c r="D418" s="33" t="s">
        <v>821</v>
      </c>
      <c r="E418" s="33" t="s">
        <v>778</v>
      </c>
      <c r="F418" s="38"/>
      <c r="G418" s="38"/>
      <c r="H418" s="33" t="s">
        <v>828</v>
      </c>
      <c r="I418" s="33">
        <v>2702.0</v>
      </c>
    </row>
    <row r="419" ht="22.5" hidden="1" customHeight="1">
      <c r="A419" s="35">
        <v>46235.5222469213</v>
      </c>
      <c r="B419" s="36">
        <v>46199.0</v>
      </c>
      <c r="C419" s="33" t="s">
        <v>64</v>
      </c>
      <c r="D419" s="33" t="s">
        <v>822</v>
      </c>
      <c r="E419" s="33" t="s">
        <v>778</v>
      </c>
      <c r="F419" s="38"/>
      <c r="G419" s="38"/>
      <c r="H419" s="33" t="s">
        <v>828</v>
      </c>
      <c r="I419" s="33">
        <v>2702.0</v>
      </c>
    </row>
    <row r="420" ht="22.5" hidden="1" customHeight="1">
      <c r="A420" s="35">
        <v>46235.52261127315</v>
      </c>
      <c r="B420" s="36">
        <v>46199.0</v>
      </c>
      <c r="C420" s="33" t="s">
        <v>64</v>
      </c>
      <c r="D420" s="33" t="s">
        <v>824</v>
      </c>
      <c r="E420" s="33" t="s">
        <v>778</v>
      </c>
      <c r="F420" s="38"/>
      <c r="G420" s="38"/>
      <c r="H420" s="33" t="s">
        <v>828</v>
      </c>
      <c r="I420" s="33">
        <v>2702.0</v>
      </c>
    </row>
    <row r="421" ht="22.5" hidden="1" customHeight="1">
      <c r="A421" s="35">
        <v>46235.5229175</v>
      </c>
      <c r="B421" s="36">
        <v>46199.0</v>
      </c>
      <c r="C421" s="33" t="s">
        <v>64</v>
      </c>
      <c r="D421" s="33" t="s">
        <v>826</v>
      </c>
      <c r="E421" s="33" t="s">
        <v>778</v>
      </c>
      <c r="F421" s="38"/>
      <c r="G421" s="38"/>
      <c r="H421" s="33" t="s">
        <v>828</v>
      </c>
      <c r="I421" s="33">
        <v>2702.0</v>
      </c>
    </row>
    <row r="422" ht="22.5" hidden="1" customHeight="1">
      <c r="A422" s="35">
        <v>46235.52320887732</v>
      </c>
      <c r="B422" s="36">
        <v>46199.0</v>
      </c>
      <c r="C422" s="33" t="s">
        <v>64</v>
      </c>
      <c r="D422" s="33" t="s">
        <v>827</v>
      </c>
      <c r="E422" s="33" t="s">
        <v>778</v>
      </c>
      <c r="F422" s="38"/>
      <c r="G422" s="38"/>
      <c r="H422" s="33" t="s">
        <v>828</v>
      </c>
      <c r="I422" s="33">
        <v>2702.0</v>
      </c>
    </row>
    <row r="423" ht="22.5" hidden="1" customHeight="1">
      <c r="A423" s="35">
        <v>46235.52355646991</v>
      </c>
      <c r="B423" s="36">
        <v>46199.0</v>
      </c>
      <c r="C423" s="33" t="s">
        <v>64</v>
      </c>
      <c r="D423" s="33" t="s">
        <v>833</v>
      </c>
      <c r="E423" s="33" t="s">
        <v>778</v>
      </c>
      <c r="F423" s="38"/>
      <c r="G423" s="38"/>
      <c r="H423" s="33" t="s">
        <v>828</v>
      </c>
      <c r="I423" s="33">
        <v>8108.0</v>
      </c>
    </row>
    <row r="424" ht="22.5" hidden="1" customHeight="1">
      <c r="A424" s="35">
        <v>46235.523896377315</v>
      </c>
      <c r="B424" s="36">
        <v>46199.0</v>
      </c>
      <c r="C424" s="33" t="s">
        <v>64</v>
      </c>
      <c r="D424" s="33" t="s">
        <v>834</v>
      </c>
      <c r="E424" s="33" t="s">
        <v>778</v>
      </c>
      <c r="F424" s="38"/>
      <c r="G424" s="38"/>
      <c r="H424" s="33" t="s">
        <v>828</v>
      </c>
      <c r="I424" s="33">
        <v>2720.0</v>
      </c>
    </row>
    <row r="425" ht="22.5" hidden="1" customHeight="1">
      <c r="A425" s="35">
        <v>46235.565188981476</v>
      </c>
      <c r="B425" s="36">
        <v>46199.0</v>
      </c>
      <c r="C425" s="33" t="s">
        <v>64</v>
      </c>
      <c r="D425" s="33" t="s">
        <v>778</v>
      </c>
      <c r="E425" s="33" t="s">
        <v>776</v>
      </c>
      <c r="F425" s="38"/>
      <c r="G425" s="38"/>
      <c r="H425" s="33" t="s">
        <v>835</v>
      </c>
      <c r="I425" s="33">
        <v>7000.0</v>
      </c>
    </row>
    <row r="426" ht="22.5" hidden="1" customHeight="1">
      <c r="A426" s="35">
        <v>46235.565944016205</v>
      </c>
      <c r="B426" s="36">
        <v>46199.0</v>
      </c>
      <c r="C426" s="33" t="s">
        <v>64</v>
      </c>
      <c r="D426" s="33" t="s">
        <v>778</v>
      </c>
      <c r="E426" s="33" t="s">
        <v>778</v>
      </c>
      <c r="F426" s="38"/>
      <c r="G426" s="38"/>
      <c r="H426" s="33" t="s">
        <v>835</v>
      </c>
      <c r="I426" s="33">
        <v>7164.0</v>
      </c>
    </row>
    <row r="427" ht="22.5" hidden="1" customHeight="1">
      <c r="A427" s="35">
        <v>46235.56662104167</v>
      </c>
      <c r="B427" s="36">
        <v>46199.0</v>
      </c>
      <c r="C427" s="33" t="s">
        <v>64</v>
      </c>
      <c r="D427" s="33" t="s">
        <v>781</v>
      </c>
      <c r="E427" s="33" t="s">
        <v>778</v>
      </c>
      <c r="F427" s="38"/>
      <c r="G427" s="38"/>
      <c r="H427" s="33" t="s">
        <v>835</v>
      </c>
      <c r="I427" s="33">
        <v>5665.0</v>
      </c>
    </row>
    <row r="428" ht="22.5" hidden="1" customHeight="1">
      <c r="A428" s="35">
        <v>46235.56691847222</v>
      </c>
      <c r="B428" s="36">
        <v>46199.0</v>
      </c>
      <c r="C428" s="33" t="s">
        <v>64</v>
      </c>
      <c r="D428" s="33" t="s">
        <v>836</v>
      </c>
      <c r="E428" s="33" t="s">
        <v>778</v>
      </c>
      <c r="F428" s="38"/>
      <c r="G428" s="38"/>
      <c r="H428" s="33" t="s">
        <v>835</v>
      </c>
      <c r="I428" s="33">
        <v>5665.0</v>
      </c>
    </row>
    <row r="429" ht="22.5" hidden="1" customHeight="1">
      <c r="A429" s="35">
        <v>46235.56717172454</v>
      </c>
      <c r="B429" s="36">
        <v>46199.0</v>
      </c>
      <c r="C429" s="33" t="s">
        <v>64</v>
      </c>
      <c r="D429" s="33" t="s">
        <v>783</v>
      </c>
      <c r="E429" s="33" t="s">
        <v>778</v>
      </c>
      <c r="F429" s="38"/>
      <c r="G429" s="38"/>
      <c r="H429" s="33" t="s">
        <v>835</v>
      </c>
      <c r="I429" s="33">
        <v>5665.0</v>
      </c>
    </row>
    <row r="430" ht="22.5" hidden="1" customHeight="1">
      <c r="A430" s="35">
        <v>46235.56769505787</v>
      </c>
      <c r="B430" s="36">
        <v>46199.0</v>
      </c>
      <c r="C430" s="33" t="s">
        <v>64</v>
      </c>
      <c r="D430" s="33" t="s">
        <v>837</v>
      </c>
      <c r="E430" s="33" t="s">
        <v>778</v>
      </c>
      <c r="F430" s="38"/>
      <c r="G430" s="38"/>
      <c r="H430" s="33" t="s">
        <v>835</v>
      </c>
      <c r="I430" s="33">
        <v>8498.0</v>
      </c>
    </row>
    <row r="431" ht="22.5" hidden="1" customHeight="1">
      <c r="A431" s="35">
        <v>46235.56795040509</v>
      </c>
      <c r="B431" s="36">
        <v>46199.0</v>
      </c>
      <c r="C431" s="33" t="s">
        <v>64</v>
      </c>
      <c r="D431" s="33" t="s">
        <v>787</v>
      </c>
      <c r="E431" s="33" t="s">
        <v>778</v>
      </c>
      <c r="F431" s="38"/>
      <c r="G431" s="38"/>
      <c r="H431" s="33" t="s">
        <v>835</v>
      </c>
      <c r="I431" s="33">
        <v>5665.0</v>
      </c>
    </row>
    <row r="432" ht="22.5" hidden="1" customHeight="1">
      <c r="A432" s="35">
        <v>46235.56821358796</v>
      </c>
      <c r="B432" s="36">
        <v>46199.0</v>
      </c>
      <c r="C432" s="33" t="s">
        <v>64</v>
      </c>
      <c r="D432" s="33" t="s">
        <v>789</v>
      </c>
      <c r="E432" s="33" t="s">
        <v>778</v>
      </c>
      <c r="F432" s="38"/>
      <c r="G432" s="38"/>
      <c r="H432" s="33" t="s">
        <v>835</v>
      </c>
      <c r="I432" s="33">
        <v>3682.0</v>
      </c>
    </row>
    <row r="433" ht="22.5" hidden="1" customHeight="1">
      <c r="A433" s="35">
        <v>46235.57108414352</v>
      </c>
      <c r="B433" s="36">
        <v>46199.0</v>
      </c>
      <c r="C433" s="33" t="s">
        <v>64</v>
      </c>
      <c r="D433" s="33" t="s">
        <v>790</v>
      </c>
      <c r="E433" s="33" t="s">
        <v>778</v>
      </c>
      <c r="F433" s="38"/>
      <c r="G433" s="38"/>
      <c r="H433" s="33" t="s">
        <v>835</v>
      </c>
      <c r="I433" s="33">
        <v>2832.0</v>
      </c>
    </row>
    <row r="434" ht="22.5" hidden="1" customHeight="1">
      <c r="A434" s="35">
        <v>46235.57142378472</v>
      </c>
      <c r="B434" s="36">
        <v>46199.0</v>
      </c>
      <c r="C434" s="33" t="s">
        <v>64</v>
      </c>
      <c r="D434" s="33" t="s">
        <v>791</v>
      </c>
      <c r="E434" s="33" t="s">
        <v>778</v>
      </c>
      <c r="F434" s="38"/>
      <c r="G434" s="38"/>
      <c r="H434" s="33" t="s">
        <v>835</v>
      </c>
      <c r="I434" s="33">
        <v>2832.0</v>
      </c>
    </row>
    <row r="435" ht="22.5" hidden="1" customHeight="1">
      <c r="A435" s="35">
        <v>46235.57165383102</v>
      </c>
      <c r="B435" s="36">
        <v>46199.0</v>
      </c>
      <c r="C435" s="33" t="s">
        <v>64</v>
      </c>
      <c r="D435" s="33" t="s">
        <v>792</v>
      </c>
      <c r="E435" s="33" t="s">
        <v>778</v>
      </c>
      <c r="F435" s="38"/>
      <c r="G435" s="38"/>
      <c r="H435" s="33" t="s">
        <v>835</v>
      </c>
      <c r="I435" s="33">
        <v>2832.0</v>
      </c>
    </row>
    <row r="436" ht="22.5" hidden="1" customHeight="1">
      <c r="A436" s="35">
        <v>46235.57192347222</v>
      </c>
      <c r="B436" s="36">
        <v>46199.0</v>
      </c>
      <c r="C436" s="33" t="s">
        <v>64</v>
      </c>
      <c r="D436" s="33" t="s">
        <v>793</v>
      </c>
      <c r="E436" s="33" t="s">
        <v>778</v>
      </c>
      <c r="F436" s="38"/>
      <c r="G436" s="38"/>
      <c r="H436" s="33" t="s">
        <v>835</v>
      </c>
      <c r="I436" s="33">
        <v>2832.0</v>
      </c>
    </row>
    <row r="437" ht="22.5" hidden="1" customHeight="1">
      <c r="A437" s="35">
        <v>46235.572189687504</v>
      </c>
      <c r="B437" s="36">
        <v>46199.0</v>
      </c>
      <c r="C437" s="33" t="s">
        <v>64</v>
      </c>
      <c r="D437" s="33" t="s">
        <v>838</v>
      </c>
      <c r="E437" s="33" t="s">
        <v>778</v>
      </c>
      <c r="F437" s="38"/>
      <c r="G437" s="38"/>
      <c r="H437" s="33" t="s">
        <v>835</v>
      </c>
      <c r="I437" s="33">
        <v>2832.0</v>
      </c>
    </row>
    <row r="438" ht="22.5" hidden="1" customHeight="1">
      <c r="A438" s="35">
        <v>46235.57285402778</v>
      </c>
      <c r="B438" s="36">
        <v>46199.0</v>
      </c>
      <c r="C438" s="33" t="s">
        <v>64</v>
      </c>
      <c r="D438" s="33" t="s">
        <v>809</v>
      </c>
      <c r="E438" s="33" t="s">
        <v>778</v>
      </c>
      <c r="F438" s="38"/>
      <c r="G438" s="38"/>
      <c r="H438" s="33" t="s">
        <v>835</v>
      </c>
      <c r="I438" s="33">
        <v>2832.0</v>
      </c>
    </row>
    <row r="439" ht="22.5" hidden="1" customHeight="1">
      <c r="A439" s="35">
        <v>46235.573127627315</v>
      </c>
      <c r="B439" s="36">
        <v>46199.0</v>
      </c>
      <c r="C439" s="33" t="s">
        <v>64</v>
      </c>
      <c r="D439" s="33" t="s">
        <v>839</v>
      </c>
      <c r="E439" s="33" t="s">
        <v>778</v>
      </c>
      <c r="F439" s="38"/>
      <c r="G439" s="38"/>
      <c r="H439" s="33" t="s">
        <v>835</v>
      </c>
      <c r="I439" s="33">
        <v>2832.0</v>
      </c>
    </row>
    <row r="440" ht="22.5" hidden="1" customHeight="1">
      <c r="A440" s="35">
        <v>46235.57333988426</v>
      </c>
      <c r="B440" s="36">
        <v>46199.0</v>
      </c>
      <c r="C440" s="33" t="s">
        <v>64</v>
      </c>
      <c r="D440" s="33" t="s">
        <v>832</v>
      </c>
      <c r="E440" s="33" t="s">
        <v>778</v>
      </c>
      <c r="F440" s="38"/>
      <c r="G440" s="38"/>
      <c r="H440" s="33" t="s">
        <v>835</v>
      </c>
      <c r="I440" s="33">
        <v>2832.0</v>
      </c>
    </row>
    <row r="441" ht="22.5" hidden="1" customHeight="1">
      <c r="A441" s="35">
        <v>46235.582113171295</v>
      </c>
      <c r="B441" s="36">
        <v>46199.0</v>
      </c>
      <c r="C441" s="33" t="s">
        <v>64</v>
      </c>
      <c r="D441" s="33" t="s">
        <v>815</v>
      </c>
      <c r="E441" s="33" t="s">
        <v>778</v>
      </c>
      <c r="F441" s="38"/>
      <c r="G441" s="38"/>
      <c r="H441" s="33" t="s">
        <v>835</v>
      </c>
      <c r="I441" s="33">
        <v>2832.0</v>
      </c>
    </row>
    <row r="442" ht="22.5" hidden="1" customHeight="1">
      <c r="A442" s="35">
        <v>46235.58242118056</v>
      </c>
      <c r="B442" s="36">
        <v>46199.0</v>
      </c>
      <c r="C442" s="33" t="s">
        <v>64</v>
      </c>
      <c r="D442" s="33" t="s">
        <v>817</v>
      </c>
      <c r="E442" s="33" t="s">
        <v>778</v>
      </c>
      <c r="F442" s="38"/>
      <c r="G442" s="38"/>
      <c r="H442" s="33" t="s">
        <v>835</v>
      </c>
      <c r="I442" s="33">
        <v>2832.0</v>
      </c>
    </row>
    <row r="443" ht="22.5" hidden="1" customHeight="1">
      <c r="A443" s="35">
        <v>46235.582707407404</v>
      </c>
      <c r="B443" s="36">
        <v>46199.0</v>
      </c>
      <c r="C443" s="33" t="s">
        <v>64</v>
      </c>
      <c r="D443" s="33" t="s">
        <v>818</v>
      </c>
      <c r="E443" s="33" t="s">
        <v>778</v>
      </c>
      <c r="F443" s="38"/>
      <c r="G443" s="38"/>
      <c r="H443" s="33" t="s">
        <v>835</v>
      </c>
      <c r="I443" s="33">
        <v>2832.0</v>
      </c>
    </row>
    <row r="444" ht="22.5" hidden="1" customHeight="1">
      <c r="A444" s="35">
        <v>46235.583234652775</v>
      </c>
      <c r="B444" s="36">
        <v>46199.0</v>
      </c>
      <c r="C444" s="33" t="s">
        <v>64</v>
      </c>
      <c r="D444" s="33" t="s">
        <v>821</v>
      </c>
      <c r="E444" s="33" t="s">
        <v>778</v>
      </c>
      <c r="F444" s="38"/>
      <c r="G444" s="38"/>
      <c r="H444" s="33" t="s">
        <v>835</v>
      </c>
      <c r="I444" s="33">
        <v>2832.0</v>
      </c>
    </row>
    <row r="445" ht="22.5" hidden="1" customHeight="1">
      <c r="A445" s="35">
        <v>46235.58387488426</v>
      </c>
      <c r="B445" s="36">
        <v>46199.0</v>
      </c>
      <c r="C445" s="33" t="s">
        <v>64</v>
      </c>
      <c r="D445" s="33" t="s">
        <v>822</v>
      </c>
      <c r="E445" s="33" t="s">
        <v>778</v>
      </c>
      <c r="F445" s="38"/>
      <c r="G445" s="38"/>
      <c r="H445" s="33" t="s">
        <v>835</v>
      </c>
      <c r="I445" s="33">
        <v>2832.0</v>
      </c>
    </row>
    <row r="446" ht="22.5" hidden="1" customHeight="1">
      <c r="A446" s="35">
        <v>46235.58413758102</v>
      </c>
      <c r="B446" s="36">
        <v>46199.0</v>
      </c>
      <c r="C446" s="33" t="s">
        <v>64</v>
      </c>
      <c r="D446" s="33" t="s">
        <v>824</v>
      </c>
      <c r="E446" s="33" t="s">
        <v>778</v>
      </c>
      <c r="F446" s="38"/>
      <c r="G446" s="38"/>
      <c r="H446" s="33" t="s">
        <v>835</v>
      </c>
      <c r="I446" s="33">
        <v>2832.0</v>
      </c>
    </row>
    <row r="447" ht="22.5" hidden="1" customHeight="1">
      <c r="A447" s="35">
        <v>46235.58451049768</v>
      </c>
      <c r="B447" s="36">
        <v>46199.0</v>
      </c>
      <c r="C447" s="33" t="s">
        <v>64</v>
      </c>
      <c r="D447" s="33" t="s">
        <v>826</v>
      </c>
      <c r="E447" s="33" t="s">
        <v>778</v>
      </c>
      <c r="F447" s="38"/>
      <c r="G447" s="38"/>
      <c r="H447" s="33" t="s">
        <v>835</v>
      </c>
      <c r="I447" s="33">
        <v>2832.0</v>
      </c>
    </row>
    <row r="448" ht="22.5" hidden="1" customHeight="1">
      <c r="A448" s="35">
        <v>46235.58474918982</v>
      </c>
      <c r="B448" s="36">
        <v>46199.0</v>
      </c>
      <c r="C448" s="33" t="s">
        <v>64</v>
      </c>
      <c r="D448" s="33" t="s">
        <v>827</v>
      </c>
      <c r="E448" s="33" t="s">
        <v>778</v>
      </c>
      <c r="F448" s="38"/>
      <c r="G448" s="38"/>
      <c r="H448" s="33" t="s">
        <v>835</v>
      </c>
      <c r="I448" s="33">
        <v>2832.0</v>
      </c>
    </row>
    <row r="449" ht="22.5" hidden="1" customHeight="1">
      <c r="A449" s="35">
        <v>46235.584990821764</v>
      </c>
      <c r="B449" s="36">
        <v>46199.0</v>
      </c>
      <c r="C449" s="33" t="s">
        <v>64</v>
      </c>
      <c r="D449" s="33" t="s">
        <v>840</v>
      </c>
      <c r="E449" s="33" t="s">
        <v>778</v>
      </c>
      <c r="F449" s="38"/>
      <c r="G449" s="38"/>
      <c r="H449" s="33" t="s">
        <v>835</v>
      </c>
      <c r="I449" s="33">
        <v>2832.0</v>
      </c>
    </row>
    <row r="450" ht="22.5" hidden="1" customHeight="1">
      <c r="A450" s="35">
        <v>46235.585263125</v>
      </c>
      <c r="B450" s="36">
        <v>46199.0</v>
      </c>
      <c r="C450" s="33" t="s">
        <v>64</v>
      </c>
      <c r="D450" s="33" t="s">
        <v>834</v>
      </c>
      <c r="E450" s="33" t="s">
        <v>778</v>
      </c>
      <c r="F450" s="38"/>
      <c r="G450" s="38"/>
      <c r="H450" s="33" t="s">
        <v>835</v>
      </c>
      <c r="I450" s="33">
        <v>2852.0</v>
      </c>
    </row>
    <row r="451" ht="22.5" hidden="1" customHeight="1">
      <c r="A451" s="35">
        <v>46235.58598142361</v>
      </c>
      <c r="B451" s="36">
        <v>46199.0</v>
      </c>
      <c r="C451" s="33" t="s">
        <v>64</v>
      </c>
      <c r="D451" s="33" t="s">
        <v>603</v>
      </c>
      <c r="E451" s="38"/>
      <c r="F451" s="33">
        <v>9.567605525E9</v>
      </c>
      <c r="G451" s="38"/>
      <c r="H451" s="33" t="s">
        <v>841</v>
      </c>
      <c r="I451" s="33">
        <v>10000.0</v>
      </c>
    </row>
    <row r="452" ht="22.5" hidden="1" customHeight="1">
      <c r="A452" s="35">
        <v>46235.58641315972</v>
      </c>
      <c r="B452" s="36">
        <v>46199.0</v>
      </c>
      <c r="C452" s="33" t="s">
        <v>50</v>
      </c>
      <c r="D452" s="33" t="s">
        <v>480</v>
      </c>
      <c r="E452" s="38"/>
      <c r="F452" s="33">
        <v>9.71559578165E11</v>
      </c>
      <c r="G452" s="38"/>
      <c r="H452" s="33" t="s">
        <v>842</v>
      </c>
      <c r="I452" s="33">
        <v>2500.0</v>
      </c>
    </row>
    <row r="453" ht="22.5" hidden="1" customHeight="1">
      <c r="A453" s="35">
        <v>46235.58678763889</v>
      </c>
      <c r="B453" s="36">
        <v>46202.0</v>
      </c>
      <c r="C453" s="33" t="s">
        <v>50</v>
      </c>
      <c r="D453" s="33" t="s">
        <v>344</v>
      </c>
      <c r="E453" s="38"/>
      <c r="F453" s="33">
        <v>9.048515649E9</v>
      </c>
      <c r="G453" s="38"/>
      <c r="H453" s="33" t="s">
        <v>843</v>
      </c>
      <c r="I453" s="33">
        <v>2500.0</v>
      </c>
    </row>
    <row r="454" ht="22.5" hidden="1" customHeight="1">
      <c r="A454" s="35">
        <v>46235.58716523148</v>
      </c>
      <c r="B454" s="36">
        <v>46203.0</v>
      </c>
      <c r="C454" s="33" t="s">
        <v>64</v>
      </c>
      <c r="D454" s="33" t="s">
        <v>844</v>
      </c>
      <c r="E454" s="38"/>
      <c r="F454" s="33">
        <v>9.895592114E9</v>
      </c>
      <c r="G454" s="38"/>
      <c r="H454" s="33" t="s">
        <v>845</v>
      </c>
      <c r="I454" s="33">
        <v>30000.0</v>
      </c>
    </row>
    <row r="455" ht="22.5" hidden="1" customHeight="1">
      <c r="A455" s="35">
        <v>46235.5897578125</v>
      </c>
      <c r="B455" s="36">
        <v>46204.0</v>
      </c>
      <c r="C455" s="33" t="s">
        <v>50</v>
      </c>
      <c r="D455" s="33" t="s">
        <v>462</v>
      </c>
      <c r="E455" s="38"/>
      <c r="F455" s="33">
        <v>9.656530305E9</v>
      </c>
      <c r="G455" s="38"/>
      <c r="H455" s="33" t="s">
        <v>846</v>
      </c>
      <c r="I455" s="33">
        <v>5000.0</v>
      </c>
    </row>
    <row r="456" ht="22.5" hidden="1" customHeight="1">
      <c r="A456" s="35">
        <v>46235.59015038195</v>
      </c>
      <c r="B456" s="36">
        <v>46205.0</v>
      </c>
      <c r="C456" s="33" t="s">
        <v>50</v>
      </c>
      <c r="D456" s="31" t="s">
        <v>59</v>
      </c>
      <c r="E456" s="38"/>
      <c r="F456" s="29">
        <v>8.606781572E9</v>
      </c>
      <c r="G456" s="38"/>
      <c r="H456" s="33" t="s">
        <v>847</v>
      </c>
      <c r="I456" s="33">
        <v>4000.0</v>
      </c>
    </row>
    <row r="457" ht="22.5" hidden="1" customHeight="1">
      <c r="A457" s="35">
        <v>46235.590543796294</v>
      </c>
      <c r="B457" s="36">
        <v>46205.0</v>
      </c>
      <c r="C457" s="33" t="s">
        <v>53</v>
      </c>
      <c r="D457" s="33" t="s">
        <v>450</v>
      </c>
      <c r="E457" s="38"/>
      <c r="F457" s="33">
        <v>9.7433798583E10</v>
      </c>
      <c r="G457" s="38"/>
      <c r="H457" s="33" t="s">
        <v>848</v>
      </c>
      <c r="I457" s="33">
        <v>2500.0</v>
      </c>
    </row>
    <row r="458" ht="22.5" hidden="1" customHeight="1">
      <c r="A458" s="35">
        <v>46235.59096901621</v>
      </c>
      <c r="B458" s="36">
        <v>46206.0</v>
      </c>
      <c r="C458" s="33" t="s">
        <v>53</v>
      </c>
      <c r="D458" s="31" t="s">
        <v>54</v>
      </c>
      <c r="E458" s="38"/>
      <c r="F458" s="29">
        <v>9.995598693E9</v>
      </c>
      <c r="G458" s="38"/>
      <c r="H458" s="33" t="s">
        <v>849</v>
      </c>
      <c r="I458" s="33">
        <v>12500.0</v>
      </c>
    </row>
    <row r="459" ht="22.5" hidden="1" customHeight="1">
      <c r="A459" s="35">
        <v>46235.591283553236</v>
      </c>
      <c r="B459" s="36">
        <v>46206.0</v>
      </c>
      <c r="C459" s="33" t="s">
        <v>50</v>
      </c>
      <c r="D459" s="33" t="s">
        <v>510</v>
      </c>
      <c r="E459" s="38"/>
      <c r="F459" s="33">
        <v>9.71554086708E11</v>
      </c>
      <c r="G459" s="38"/>
      <c r="H459" s="33" t="s">
        <v>850</v>
      </c>
      <c r="I459" s="33">
        <v>2500.0</v>
      </c>
    </row>
    <row r="460" ht="22.5" hidden="1" customHeight="1">
      <c r="A460" s="35">
        <v>46235.59167196759</v>
      </c>
      <c r="B460" s="36">
        <v>46207.0</v>
      </c>
      <c r="C460" s="33" t="s">
        <v>50</v>
      </c>
      <c r="D460" s="33" t="s">
        <v>68</v>
      </c>
      <c r="E460" s="38"/>
      <c r="F460" s="29">
        <v>9.847880118E9</v>
      </c>
      <c r="G460" s="38"/>
      <c r="H460" s="33" t="s">
        <v>851</v>
      </c>
      <c r="I460" s="33">
        <v>2000.0</v>
      </c>
    </row>
    <row r="461" ht="22.5" hidden="1" customHeight="1">
      <c r="A461" s="35">
        <v>46235.59252181713</v>
      </c>
      <c r="B461" s="36">
        <v>46207.0</v>
      </c>
      <c r="C461" s="33" t="s">
        <v>50</v>
      </c>
      <c r="D461" s="33" t="s">
        <v>182</v>
      </c>
      <c r="E461" s="38"/>
      <c r="F461" s="33">
        <v>9.71505275385E11</v>
      </c>
      <c r="G461" s="38"/>
      <c r="H461" s="33" t="s">
        <v>852</v>
      </c>
      <c r="I461" s="33">
        <v>5000.0</v>
      </c>
    </row>
    <row r="462" ht="22.5" hidden="1" customHeight="1">
      <c r="A462" s="35">
        <v>46235.59289590278</v>
      </c>
      <c r="B462" s="36">
        <v>46207.0</v>
      </c>
      <c r="C462" s="33" t="s">
        <v>50</v>
      </c>
      <c r="D462" s="33" t="s">
        <v>182</v>
      </c>
      <c r="E462" s="38"/>
      <c r="F462" s="33">
        <v>9.71505275385E11</v>
      </c>
      <c r="G462" s="38"/>
      <c r="H462" s="33" t="s">
        <v>853</v>
      </c>
      <c r="I462" s="33">
        <v>5000.0</v>
      </c>
    </row>
    <row r="463" ht="22.5" hidden="1" customHeight="1">
      <c r="A463" s="35">
        <v>46235.59332222222</v>
      </c>
      <c r="B463" s="36">
        <v>46207.0</v>
      </c>
      <c r="C463" s="33" t="s">
        <v>50</v>
      </c>
      <c r="D463" s="33" t="s">
        <v>436</v>
      </c>
      <c r="E463" s="38"/>
      <c r="F463" s="33">
        <v>9.71557708955E11</v>
      </c>
      <c r="G463" s="38"/>
      <c r="H463" s="33" t="s">
        <v>854</v>
      </c>
      <c r="I463" s="33">
        <v>2500.0</v>
      </c>
    </row>
    <row r="464" ht="22.5" hidden="1" customHeight="1">
      <c r="A464" s="35">
        <v>46235.59367379629</v>
      </c>
      <c r="B464" s="36">
        <v>46207.0</v>
      </c>
      <c r="C464" s="33" t="s">
        <v>50</v>
      </c>
      <c r="D464" s="33" t="s">
        <v>617</v>
      </c>
      <c r="E464" s="38"/>
      <c r="F464" s="33">
        <v>9.946998398E9</v>
      </c>
      <c r="G464" s="38"/>
      <c r="H464" s="33" t="s">
        <v>855</v>
      </c>
      <c r="I464" s="33">
        <v>3000.0</v>
      </c>
    </row>
    <row r="465" ht="22.5" hidden="1" customHeight="1">
      <c r="A465" s="35">
        <v>46235.597201689816</v>
      </c>
      <c r="B465" s="36">
        <v>46208.0</v>
      </c>
      <c r="C465" s="33" t="s">
        <v>50</v>
      </c>
      <c r="D465" s="33" t="s">
        <v>615</v>
      </c>
      <c r="E465" s="38"/>
      <c r="F465" s="33">
        <v>7.356063316E9</v>
      </c>
      <c r="G465" s="38"/>
      <c r="H465" s="33" t="s">
        <v>856</v>
      </c>
      <c r="I465" s="33">
        <v>6000.0</v>
      </c>
    </row>
    <row r="466" ht="22.5" hidden="1" customHeight="1">
      <c r="A466" s="35">
        <v>46235.59763741898</v>
      </c>
      <c r="B466" s="36">
        <v>46208.0</v>
      </c>
      <c r="C466" s="33" t="s">
        <v>50</v>
      </c>
      <c r="D466" s="33" t="s">
        <v>857</v>
      </c>
      <c r="E466" s="38"/>
      <c r="F466" s="33">
        <v>9.846021713E9</v>
      </c>
      <c r="G466" s="38"/>
      <c r="H466" s="33" t="s">
        <v>858</v>
      </c>
      <c r="I466" s="33">
        <v>60000.0</v>
      </c>
    </row>
    <row r="467" ht="22.5" hidden="1" customHeight="1">
      <c r="A467" s="35">
        <v>46235.59820263889</v>
      </c>
      <c r="B467" s="36">
        <v>46211.0</v>
      </c>
      <c r="C467" s="33" t="s">
        <v>64</v>
      </c>
      <c r="D467" s="33" t="s">
        <v>729</v>
      </c>
      <c r="E467" s="38"/>
      <c r="F467" s="38"/>
      <c r="G467" s="38"/>
      <c r="H467" s="33" t="s">
        <v>859</v>
      </c>
      <c r="I467" s="33">
        <v>21500.0</v>
      </c>
    </row>
    <row r="468" ht="22.5" hidden="1" customHeight="1">
      <c r="A468" s="35">
        <v>46235.60164163195</v>
      </c>
      <c r="B468" s="36">
        <v>46211.0</v>
      </c>
      <c r="C468" s="33" t="s">
        <v>53</v>
      </c>
      <c r="D468" s="33" t="s">
        <v>640</v>
      </c>
      <c r="E468" s="38"/>
      <c r="F468" s="33">
        <v>9.746484385E9</v>
      </c>
      <c r="G468" s="38"/>
      <c r="H468" s="33" t="s">
        <v>860</v>
      </c>
      <c r="I468" s="33">
        <v>5000.0</v>
      </c>
    </row>
    <row r="469" ht="22.5" hidden="1" customHeight="1">
      <c r="A469" s="35">
        <v>46235.6023008912</v>
      </c>
      <c r="B469" s="36">
        <v>46212.0</v>
      </c>
      <c r="C469" s="33" t="s">
        <v>53</v>
      </c>
      <c r="D469" s="33" t="s">
        <v>861</v>
      </c>
      <c r="E469" s="38"/>
      <c r="F469" s="33">
        <v>9.048009056E9</v>
      </c>
      <c r="G469" s="38"/>
      <c r="H469" s="33" t="s">
        <v>862</v>
      </c>
      <c r="I469" s="33">
        <v>2000.0</v>
      </c>
    </row>
    <row r="470" ht="22.5" hidden="1" customHeight="1">
      <c r="A470" s="35">
        <v>46235.60273453704</v>
      </c>
      <c r="B470" s="36">
        <v>46212.0</v>
      </c>
      <c r="C470" s="33" t="s">
        <v>50</v>
      </c>
      <c r="D470" s="33" t="s">
        <v>68</v>
      </c>
      <c r="E470" s="38"/>
      <c r="F470" s="29">
        <v>9.847880118E9</v>
      </c>
      <c r="G470" s="38"/>
      <c r="H470" s="33" t="s">
        <v>863</v>
      </c>
      <c r="I470" s="33">
        <v>2000.0</v>
      </c>
    </row>
    <row r="471" ht="22.5" hidden="1" customHeight="1">
      <c r="A471" s="35">
        <v>46235.60311321759</v>
      </c>
      <c r="B471" s="36">
        <v>46212.0</v>
      </c>
      <c r="C471" s="33" t="s">
        <v>50</v>
      </c>
      <c r="D471" s="33" t="s">
        <v>351</v>
      </c>
      <c r="E471" s="38"/>
      <c r="F471" s="33">
        <v>9.562555593E9</v>
      </c>
      <c r="G471" s="38"/>
      <c r="H471" s="33" t="s">
        <v>864</v>
      </c>
      <c r="I471" s="33">
        <v>10000.0</v>
      </c>
    </row>
    <row r="472" ht="22.5" hidden="1" customHeight="1">
      <c r="A472" s="35">
        <v>46235.60503349537</v>
      </c>
      <c r="B472" s="36">
        <v>46213.0</v>
      </c>
      <c r="C472" s="33" t="s">
        <v>64</v>
      </c>
      <c r="D472" s="33" t="s">
        <v>865</v>
      </c>
      <c r="E472" s="38"/>
      <c r="F472" s="33">
        <v>9.84736319E9</v>
      </c>
      <c r="G472" s="38"/>
      <c r="H472" s="33" t="s">
        <v>866</v>
      </c>
      <c r="I472" s="33">
        <v>5000.0</v>
      </c>
    </row>
    <row r="473" ht="22.5" hidden="1" customHeight="1">
      <c r="A473" s="35">
        <v>46235.60579065973</v>
      </c>
      <c r="B473" s="36">
        <v>46213.0</v>
      </c>
      <c r="C473" s="33" t="s">
        <v>64</v>
      </c>
      <c r="D473" s="33" t="s">
        <v>865</v>
      </c>
      <c r="E473" s="38"/>
      <c r="F473" s="33">
        <v>9.84736319E9</v>
      </c>
      <c r="G473" s="38"/>
      <c r="H473" s="33" t="s">
        <v>867</v>
      </c>
      <c r="I473" s="33">
        <v>5000.0</v>
      </c>
    </row>
    <row r="474" ht="22.5" hidden="1" customHeight="1">
      <c r="A474" s="35">
        <v>46235.606187060184</v>
      </c>
      <c r="B474" s="36">
        <v>46216.0</v>
      </c>
      <c r="C474" s="33" t="s">
        <v>50</v>
      </c>
      <c r="D474" s="33" t="s">
        <v>346</v>
      </c>
      <c r="E474" s="38"/>
      <c r="F474" s="33">
        <v>9.71557991057E11</v>
      </c>
      <c r="G474" s="38"/>
      <c r="H474" s="33" t="s">
        <v>868</v>
      </c>
      <c r="I474" s="33">
        <v>1250.0</v>
      </c>
    </row>
    <row r="475" ht="22.5" hidden="1" customHeight="1">
      <c r="A475" s="35">
        <v>46235.60700528935</v>
      </c>
      <c r="B475" s="36">
        <v>46217.0</v>
      </c>
      <c r="C475" s="33" t="s">
        <v>50</v>
      </c>
      <c r="D475" s="33" t="s">
        <v>869</v>
      </c>
      <c r="E475" s="38"/>
      <c r="F475" s="33">
        <v>8.547606471E9</v>
      </c>
      <c r="G475" s="38"/>
      <c r="H475" s="33" t="s">
        <v>870</v>
      </c>
      <c r="I475" s="33">
        <v>30000.0</v>
      </c>
    </row>
    <row r="476" ht="22.5" hidden="1" customHeight="1">
      <c r="A476" s="35">
        <v>46235.60736834491</v>
      </c>
      <c r="B476" s="36">
        <v>46218.0</v>
      </c>
      <c r="C476" s="33" t="s">
        <v>64</v>
      </c>
      <c r="D476" s="33" t="s">
        <v>681</v>
      </c>
      <c r="E476" s="38"/>
      <c r="F476" s="33">
        <v>9.89527027E9</v>
      </c>
      <c r="G476" s="38"/>
      <c r="H476" s="33" t="s">
        <v>871</v>
      </c>
      <c r="I476" s="33">
        <v>15000.0</v>
      </c>
    </row>
    <row r="477" ht="22.5" hidden="1" customHeight="1">
      <c r="A477" s="35">
        <v>46235.60771053241</v>
      </c>
      <c r="B477" s="36">
        <v>46218.0</v>
      </c>
      <c r="C477" s="33" t="s">
        <v>53</v>
      </c>
      <c r="D477" s="33" t="s">
        <v>872</v>
      </c>
      <c r="E477" s="38"/>
      <c r="F477" s="33">
        <v>9.745759562E9</v>
      </c>
      <c r="G477" s="38"/>
      <c r="H477" s="33" t="s">
        <v>873</v>
      </c>
      <c r="I477" s="33">
        <v>10000.0</v>
      </c>
    </row>
    <row r="478" ht="22.5" hidden="1" customHeight="1">
      <c r="A478" s="35">
        <v>46235.61101579861</v>
      </c>
      <c r="B478" s="36">
        <v>46219.0</v>
      </c>
      <c r="C478" s="33" t="s">
        <v>64</v>
      </c>
      <c r="D478" s="33" t="s">
        <v>874</v>
      </c>
      <c r="E478" s="33" t="s">
        <v>875</v>
      </c>
      <c r="F478" s="33">
        <v>9.947016156E9</v>
      </c>
      <c r="G478" s="38"/>
      <c r="H478" s="33" t="s">
        <v>876</v>
      </c>
      <c r="I478" s="33">
        <v>15000.0</v>
      </c>
    </row>
    <row r="479" ht="22.5" hidden="1" customHeight="1">
      <c r="A479" s="35">
        <v>46235.611403206014</v>
      </c>
      <c r="B479" s="36">
        <v>46219.0</v>
      </c>
      <c r="C479" s="33" t="s">
        <v>50</v>
      </c>
      <c r="D479" s="33" t="s">
        <v>349</v>
      </c>
      <c r="E479" s="38"/>
      <c r="F479" s="33">
        <v>6.235536872E9</v>
      </c>
      <c r="G479" s="38"/>
      <c r="H479" s="33" t="s">
        <v>877</v>
      </c>
      <c r="I479" s="33">
        <v>2100.0</v>
      </c>
    </row>
    <row r="480" ht="22.5" hidden="1" customHeight="1">
      <c r="A480" s="35">
        <v>46235.61223145833</v>
      </c>
      <c r="B480" s="36">
        <v>46220.0</v>
      </c>
      <c r="C480" s="33" t="s">
        <v>50</v>
      </c>
      <c r="D480" s="33" t="s">
        <v>878</v>
      </c>
      <c r="E480" s="38"/>
      <c r="F480" s="33">
        <v>7.510816306E9</v>
      </c>
      <c r="G480" s="38"/>
      <c r="H480" s="33" t="s">
        <v>879</v>
      </c>
      <c r="I480" s="33">
        <v>5000.0</v>
      </c>
    </row>
    <row r="481" ht="22.5" hidden="1" customHeight="1">
      <c r="A481" s="35">
        <v>46235.612659895836</v>
      </c>
      <c r="B481" s="36">
        <v>46224.0</v>
      </c>
      <c r="C481" s="33" t="s">
        <v>50</v>
      </c>
      <c r="D481" s="33" t="s">
        <v>880</v>
      </c>
      <c r="E481" s="38"/>
      <c r="F481" s="33">
        <v>9.71564084459E11</v>
      </c>
      <c r="G481" s="38"/>
      <c r="H481" s="33" t="s">
        <v>881</v>
      </c>
      <c r="I481" s="33">
        <v>2500.0</v>
      </c>
    </row>
    <row r="482" ht="22.5" hidden="1" customHeight="1">
      <c r="A482" s="35">
        <v>46235.61324313657</v>
      </c>
      <c r="B482" s="36">
        <v>46224.0</v>
      </c>
      <c r="C482" s="33" t="s">
        <v>50</v>
      </c>
      <c r="D482" s="33" t="s">
        <v>882</v>
      </c>
      <c r="E482" s="38"/>
      <c r="F482" s="33">
        <v>9.447087152E9</v>
      </c>
      <c r="G482" s="38"/>
      <c r="H482" s="33" t="s">
        <v>883</v>
      </c>
      <c r="I482" s="33">
        <v>5000.0</v>
      </c>
    </row>
    <row r="483" ht="22.5" hidden="1" customHeight="1">
      <c r="A483" s="35">
        <v>46235.613758472224</v>
      </c>
      <c r="B483" s="36">
        <v>46226.0</v>
      </c>
      <c r="C483" s="33" t="s">
        <v>53</v>
      </c>
      <c r="D483" s="33" t="s">
        <v>884</v>
      </c>
      <c r="E483" s="38"/>
      <c r="F483" s="33">
        <v>9.961919191E9</v>
      </c>
      <c r="G483" s="38"/>
      <c r="H483" s="33" t="s">
        <v>885</v>
      </c>
      <c r="I483" s="33">
        <v>30000.0</v>
      </c>
    </row>
    <row r="484" ht="22.5" hidden="1" customHeight="1">
      <c r="A484" s="35">
        <v>46235.62095703704</v>
      </c>
      <c r="B484" s="36">
        <v>46094.0</v>
      </c>
      <c r="C484" s="33" t="s">
        <v>64</v>
      </c>
      <c r="D484" s="33" t="s">
        <v>886</v>
      </c>
      <c r="E484" s="38"/>
      <c r="F484" s="33">
        <v>9.846236024E9</v>
      </c>
      <c r="G484" s="38"/>
      <c r="H484" s="33" t="s">
        <v>887</v>
      </c>
      <c r="I484" s="33">
        <v>25000.0</v>
      </c>
    </row>
    <row r="485" ht="22.5" hidden="1" customHeight="1">
      <c r="A485" s="35">
        <v>46235.62363431713</v>
      </c>
      <c r="B485" s="36">
        <v>46228.0</v>
      </c>
      <c r="C485" s="33" t="s">
        <v>50</v>
      </c>
      <c r="D485" s="33" t="s">
        <v>888</v>
      </c>
      <c r="E485" s="38"/>
      <c r="F485" s="33">
        <v>9.946998398E9</v>
      </c>
      <c r="G485" s="38"/>
      <c r="H485" s="33" t="s">
        <v>889</v>
      </c>
      <c r="I485" s="33">
        <v>3000.0</v>
      </c>
    </row>
    <row r="486" ht="22.5" hidden="1" customHeight="1">
      <c r="A486" s="35">
        <v>46235.62430743055</v>
      </c>
      <c r="B486" s="36">
        <v>46231.0</v>
      </c>
      <c r="C486" s="33" t="s">
        <v>50</v>
      </c>
      <c r="D486" s="33" t="s">
        <v>890</v>
      </c>
      <c r="E486" s="38"/>
      <c r="F486" s="33" t="s">
        <v>891</v>
      </c>
      <c r="G486" s="38"/>
      <c r="H486" s="33" t="s">
        <v>892</v>
      </c>
      <c r="I486" s="33">
        <v>50000.0</v>
      </c>
    </row>
    <row r="487" ht="22.5" hidden="1" customHeight="1">
      <c r="A487" s="35">
        <v>46235.653580451384</v>
      </c>
      <c r="B487" s="36">
        <v>46227.0</v>
      </c>
      <c r="C487" s="33" t="s">
        <v>64</v>
      </c>
      <c r="D487" s="33" t="s">
        <v>778</v>
      </c>
      <c r="E487" s="33" t="s">
        <v>778</v>
      </c>
      <c r="F487" s="38"/>
      <c r="G487" s="38"/>
      <c r="H487" s="33" t="s">
        <v>893</v>
      </c>
      <c r="I487" s="33">
        <v>13642.0</v>
      </c>
    </row>
    <row r="488" ht="22.5" hidden="1" customHeight="1">
      <c r="A488" s="35">
        <v>46235.654109027775</v>
      </c>
      <c r="B488" s="36">
        <v>46227.0</v>
      </c>
      <c r="C488" s="33" t="s">
        <v>64</v>
      </c>
      <c r="D488" s="33" t="s">
        <v>781</v>
      </c>
      <c r="E488" s="33" t="s">
        <v>778</v>
      </c>
      <c r="F488" s="38"/>
      <c r="G488" s="38"/>
      <c r="H488" s="33" t="s">
        <v>893</v>
      </c>
      <c r="I488" s="33">
        <v>5456.0</v>
      </c>
    </row>
    <row r="489" ht="22.5" hidden="1" customHeight="1">
      <c r="A489" s="35">
        <v>46235.65453105324</v>
      </c>
      <c r="B489" s="36">
        <v>46227.0</v>
      </c>
      <c r="C489" s="33" t="s">
        <v>64</v>
      </c>
      <c r="D489" s="33" t="s">
        <v>836</v>
      </c>
      <c r="E489" s="33" t="s">
        <v>778</v>
      </c>
      <c r="F489" s="38"/>
      <c r="G489" s="38"/>
      <c r="H489" s="33" t="s">
        <v>893</v>
      </c>
      <c r="I489" s="33">
        <v>2728.0</v>
      </c>
    </row>
    <row r="490" ht="22.5" hidden="1" customHeight="1">
      <c r="A490" s="35">
        <v>46235.655158622685</v>
      </c>
      <c r="B490" s="36">
        <v>46227.0</v>
      </c>
      <c r="C490" s="33" t="s">
        <v>64</v>
      </c>
      <c r="D490" s="33" t="s">
        <v>783</v>
      </c>
      <c r="E490" s="33" t="s">
        <v>778</v>
      </c>
      <c r="F490" s="38"/>
      <c r="G490" s="38"/>
      <c r="H490" s="33" t="s">
        <v>893</v>
      </c>
      <c r="I490" s="33">
        <v>5456.0</v>
      </c>
    </row>
    <row r="491" ht="22.5" hidden="1" customHeight="1">
      <c r="A491" s="35">
        <v>46235.65542891204</v>
      </c>
      <c r="B491" s="36">
        <v>46227.0</v>
      </c>
      <c r="C491" s="33" t="s">
        <v>64</v>
      </c>
      <c r="D491" s="33" t="s">
        <v>894</v>
      </c>
      <c r="E491" s="33" t="s">
        <v>778</v>
      </c>
      <c r="F491" s="38"/>
      <c r="G491" s="38"/>
      <c r="H491" s="33" t="s">
        <v>893</v>
      </c>
      <c r="I491" s="33">
        <v>8185.0</v>
      </c>
    </row>
    <row r="492" ht="22.5" hidden="1" customHeight="1">
      <c r="A492" s="35">
        <v>46235.655872256946</v>
      </c>
      <c r="B492" s="36">
        <v>46227.0</v>
      </c>
      <c r="C492" s="33" t="s">
        <v>64</v>
      </c>
      <c r="D492" s="33" t="s">
        <v>787</v>
      </c>
      <c r="E492" s="33" t="s">
        <v>778</v>
      </c>
      <c r="F492" s="38"/>
      <c r="G492" s="38"/>
      <c r="H492" s="33" t="s">
        <v>893</v>
      </c>
      <c r="I492" s="33">
        <v>5456.0</v>
      </c>
    </row>
    <row r="493" ht="22.5" hidden="1" customHeight="1">
      <c r="A493" s="35">
        <v>46235.65618792824</v>
      </c>
      <c r="B493" s="36">
        <v>46227.0</v>
      </c>
      <c r="C493" s="33" t="s">
        <v>64</v>
      </c>
      <c r="D493" s="33" t="s">
        <v>895</v>
      </c>
      <c r="E493" s="33" t="s">
        <v>778</v>
      </c>
      <c r="F493" s="38"/>
      <c r="G493" s="38"/>
      <c r="H493" s="33" t="s">
        <v>893</v>
      </c>
      <c r="I493" s="33">
        <v>2319.0</v>
      </c>
    </row>
    <row r="494" ht="22.5" hidden="1" customHeight="1">
      <c r="A494" s="35">
        <v>46235.65675347223</v>
      </c>
      <c r="B494" s="36">
        <v>46227.0</v>
      </c>
      <c r="C494" s="33" t="s">
        <v>64</v>
      </c>
      <c r="D494" s="33" t="s">
        <v>896</v>
      </c>
      <c r="E494" s="33" t="s">
        <v>778</v>
      </c>
      <c r="F494" s="38"/>
      <c r="G494" s="38"/>
      <c r="H494" s="33" t="s">
        <v>893</v>
      </c>
      <c r="I494" s="33">
        <v>2728.0</v>
      </c>
    </row>
    <row r="495" ht="22.5" hidden="1" customHeight="1">
      <c r="A495" s="35">
        <v>46235.65713</v>
      </c>
      <c r="B495" s="36">
        <v>46227.0</v>
      </c>
      <c r="C495" s="33" t="s">
        <v>64</v>
      </c>
      <c r="D495" s="33" t="s">
        <v>897</v>
      </c>
      <c r="E495" s="33" t="s">
        <v>778</v>
      </c>
      <c r="F495" s="38"/>
      <c r="G495" s="38"/>
      <c r="H495" s="33" t="s">
        <v>893</v>
      </c>
      <c r="I495" s="33">
        <v>2728.0</v>
      </c>
    </row>
    <row r="496" ht="22.5" hidden="1" customHeight="1">
      <c r="A496" s="35">
        <v>46235.65744556713</v>
      </c>
      <c r="B496" s="36">
        <v>46227.0</v>
      </c>
      <c r="C496" s="33" t="s">
        <v>64</v>
      </c>
      <c r="D496" s="33" t="s">
        <v>792</v>
      </c>
      <c r="E496" s="33" t="s">
        <v>778</v>
      </c>
      <c r="F496" s="38"/>
      <c r="G496" s="38"/>
      <c r="H496" s="33" t="s">
        <v>893</v>
      </c>
      <c r="I496" s="33">
        <v>2728.0</v>
      </c>
    </row>
    <row r="497" ht="22.5" hidden="1" customHeight="1">
      <c r="A497" s="35">
        <v>46235.65774013889</v>
      </c>
      <c r="B497" s="36">
        <v>46227.0</v>
      </c>
      <c r="C497" s="33" t="s">
        <v>64</v>
      </c>
      <c r="D497" s="33" t="s">
        <v>898</v>
      </c>
      <c r="E497" s="33" t="s">
        <v>778</v>
      </c>
      <c r="F497" s="38"/>
      <c r="G497" s="38"/>
      <c r="H497" s="33" t="s">
        <v>893</v>
      </c>
      <c r="I497" s="33">
        <v>2728.0</v>
      </c>
    </row>
    <row r="498" ht="22.5" hidden="1" customHeight="1">
      <c r="A498" s="35">
        <v>46235.658143043984</v>
      </c>
      <c r="B498" s="36">
        <v>46227.0</v>
      </c>
      <c r="C498" s="33" t="s">
        <v>64</v>
      </c>
      <c r="D498" s="33" t="s">
        <v>796</v>
      </c>
      <c r="E498" s="33" t="s">
        <v>778</v>
      </c>
      <c r="F498" s="38"/>
      <c r="G498" s="38"/>
      <c r="H498" s="33" t="s">
        <v>893</v>
      </c>
      <c r="I498" s="33">
        <v>2728.0</v>
      </c>
    </row>
    <row r="499" ht="22.5" hidden="1" customHeight="1">
      <c r="A499" s="35">
        <v>46235.658533078706</v>
      </c>
      <c r="B499" s="36">
        <v>46227.0</v>
      </c>
      <c r="C499" s="33" t="s">
        <v>64</v>
      </c>
      <c r="D499" s="33" t="s">
        <v>809</v>
      </c>
      <c r="E499" s="33" t="s">
        <v>778</v>
      </c>
      <c r="F499" s="38"/>
      <c r="G499" s="38"/>
      <c r="H499" s="33" t="s">
        <v>893</v>
      </c>
      <c r="I499" s="33">
        <v>2728.0</v>
      </c>
    </row>
    <row r="500" ht="22.5" hidden="1" customHeight="1">
      <c r="A500" s="35">
        <v>46235.6589328125</v>
      </c>
      <c r="B500" s="36">
        <v>46227.0</v>
      </c>
      <c r="C500" s="33" t="s">
        <v>64</v>
      </c>
      <c r="D500" s="33" t="s">
        <v>812</v>
      </c>
      <c r="E500" s="33" t="s">
        <v>778</v>
      </c>
      <c r="F500" s="38"/>
      <c r="G500" s="38"/>
      <c r="H500" s="33" t="s">
        <v>893</v>
      </c>
      <c r="I500" s="33">
        <v>2728.0</v>
      </c>
    </row>
    <row r="501" ht="22.5" hidden="1" customHeight="1">
      <c r="A501" s="35">
        <v>46235.65922408565</v>
      </c>
      <c r="B501" s="36">
        <v>46227.0</v>
      </c>
      <c r="C501" s="33" t="s">
        <v>64</v>
      </c>
      <c r="D501" s="33" t="s">
        <v>832</v>
      </c>
      <c r="E501" s="33" t="s">
        <v>778</v>
      </c>
      <c r="F501" s="38"/>
      <c r="G501" s="38"/>
      <c r="H501" s="33" t="s">
        <v>893</v>
      </c>
      <c r="I501" s="33">
        <v>2728.0</v>
      </c>
    </row>
    <row r="502" ht="22.5" hidden="1" customHeight="1">
      <c r="A502" s="35">
        <v>46235.659737291666</v>
      </c>
      <c r="B502" s="36">
        <v>46227.0</v>
      </c>
      <c r="C502" s="33" t="s">
        <v>64</v>
      </c>
      <c r="D502" s="33" t="s">
        <v>899</v>
      </c>
      <c r="E502" s="33" t="s">
        <v>778</v>
      </c>
      <c r="F502" s="38"/>
      <c r="G502" s="38"/>
      <c r="H502" s="33" t="s">
        <v>893</v>
      </c>
      <c r="I502" s="33">
        <v>2728.0</v>
      </c>
    </row>
    <row r="503" ht="22.5" hidden="1" customHeight="1">
      <c r="A503" s="35">
        <v>46235.66026207176</v>
      </c>
      <c r="B503" s="36">
        <v>46227.0</v>
      </c>
      <c r="C503" s="33" t="s">
        <v>64</v>
      </c>
      <c r="D503" s="33" t="s">
        <v>817</v>
      </c>
      <c r="E503" s="33" t="s">
        <v>778</v>
      </c>
      <c r="F503" s="38"/>
      <c r="G503" s="38"/>
      <c r="H503" s="33" t="s">
        <v>893</v>
      </c>
      <c r="I503" s="33">
        <v>2728.0</v>
      </c>
    </row>
    <row r="504" ht="22.5" hidden="1" customHeight="1">
      <c r="A504" s="35">
        <v>46235.66057652778</v>
      </c>
      <c r="B504" s="36">
        <v>46227.0</v>
      </c>
      <c r="C504" s="33" t="s">
        <v>64</v>
      </c>
      <c r="D504" s="33" t="s">
        <v>818</v>
      </c>
      <c r="E504" s="33" t="s">
        <v>778</v>
      </c>
      <c r="F504" s="38"/>
      <c r="G504" s="38"/>
      <c r="H504" s="33" t="s">
        <v>893</v>
      </c>
      <c r="I504" s="33">
        <v>2728.0</v>
      </c>
    </row>
    <row r="505" ht="22.5" hidden="1" customHeight="1">
      <c r="A505" s="35">
        <v>46235.660968321754</v>
      </c>
      <c r="B505" s="36">
        <v>46227.0</v>
      </c>
      <c r="C505" s="33" t="s">
        <v>64</v>
      </c>
      <c r="D505" s="33" t="s">
        <v>821</v>
      </c>
      <c r="E505" s="33" t="s">
        <v>778</v>
      </c>
      <c r="F505" s="38"/>
      <c r="G505" s="38"/>
      <c r="H505" s="33" t="s">
        <v>893</v>
      </c>
      <c r="I505" s="33">
        <v>2728.0</v>
      </c>
    </row>
    <row r="506" ht="22.5" hidden="1" customHeight="1">
      <c r="A506" s="35">
        <v>46235.661270729164</v>
      </c>
      <c r="B506" s="36">
        <v>46227.0</v>
      </c>
      <c r="C506" s="33" t="s">
        <v>64</v>
      </c>
      <c r="D506" s="33" t="s">
        <v>822</v>
      </c>
      <c r="E506" s="33" t="s">
        <v>778</v>
      </c>
      <c r="F506" s="38"/>
      <c r="G506" s="38"/>
      <c r="H506" s="33" t="s">
        <v>893</v>
      </c>
      <c r="I506" s="33">
        <v>2728.0</v>
      </c>
    </row>
    <row r="507" ht="22.5" hidden="1" customHeight="1">
      <c r="A507" s="35">
        <v>46235.661578576386</v>
      </c>
      <c r="B507" s="36">
        <v>46227.0</v>
      </c>
      <c r="C507" s="33" t="s">
        <v>64</v>
      </c>
      <c r="D507" s="33" t="s">
        <v>824</v>
      </c>
      <c r="E507" s="33" t="s">
        <v>778</v>
      </c>
      <c r="F507" s="38"/>
      <c r="G507" s="38"/>
      <c r="H507" s="33" t="s">
        <v>893</v>
      </c>
      <c r="I507" s="33">
        <v>2728.0</v>
      </c>
    </row>
    <row r="508" ht="22.5" hidden="1" customHeight="1">
      <c r="A508" s="35">
        <v>46235.662236539356</v>
      </c>
      <c r="B508" s="36">
        <v>46227.0</v>
      </c>
      <c r="C508" s="33" t="s">
        <v>64</v>
      </c>
      <c r="D508" s="33" t="s">
        <v>826</v>
      </c>
      <c r="E508" s="33" t="s">
        <v>778</v>
      </c>
      <c r="F508" s="38"/>
      <c r="G508" s="38"/>
      <c r="H508" s="33" t="s">
        <v>893</v>
      </c>
      <c r="I508" s="33">
        <v>2728.0</v>
      </c>
    </row>
    <row r="509" ht="22.5" hidden="1" customHeight="1">
      <c r="A509" s="35">
        <v>46235.662436805556</v>
      </c>
      <c r="B509" s="36">
        <v>46227.0</v>
      </c>
      <c r="C509" s="33" t="s">
        <v>64</v>
      </c>
      <c r="D509" s="33" t="s">
        <v>827</v>
      </c>
      <c r="E509" s="33" t="s">
        <v>778</v>
      </c>
      <c r="F509" s="38"/>
      <c r="G509" s="38"/>
      <c r="H509" s="33" t="s">
        <v>893</v>
      </c>
      <c r="I509" s="33">
        <v>2728.0</v>
      </c>
    </row>
    <row r="510" ht="22.5" hidden="1" customHeight="1">
      <c r="A510" s="35">
        <v>46235.662800300925</v>
      </c>
      <c r="B510" s="36">
        <v>46227.0</v>
      </c>
      <c r="C510" s="33" t="s">
        <v>64</v>
      </c>
      <c r="D510" s="33" t="s">
        <v>900</v>
      </c>
      <c r="E510" s="33" t="s">
        <v>778</v>
      </c>
      <c r="F510" s="38"/>
      <c r="G510" s="38"/>
      <c r="H510" s="33" t="s">
        <v>893</v>
      </c>
      <c r="I510" s="33">
        <v>2728.0</v>
      </c>
    </row>
    <row r="511" ht="22.5" hidden="1" customHeight="1">
      <c r="A511" s="35">
        <v>46235.66407292824</v>
      </c>
      <c r="B511" s="36">
        <v>46227.0</v>
      </c>
      <c r="C511" s="33" t="s">
        <v>64</v>
      </c>
      <c r="D511" s="33" t="s">
        <v>834</v>
      </c>
      <c r="E511" s="33" t="s">
        <v>778</v>
      </c>
      <c r="F511" s="38"/>
      <c r="G511" s="38"/>
      <c r="H511" s="33" t="s">
        <v>893</v>
      </c>
      <c r="I511" s="33">
        <v>2728.0</v>
      </c>
    </row>
    <row r="512" ht="22.5" hidden="1" customHeight="1">
      <c r="A512" s="35">
        <v>46235.66439909722</v>
      </c>
      <c r="B512" s="36">
        <v>46227.0</v>
      </c>
      <c r="C512" s="33" t="s">
        <v>64</v>
      </c>
      <c r="D512" s="33" t="s">
        <v>901</v>
      </c>
      <c r="E512" s="33" t="s">
        <v>778</v>
      </c>
      <c r="F512" s="38"/>
      <c r="G512" s="38"/>
      <c r="H512" s="33" t="s">
        <v>893</v>
      </c>
      <c r="I512" s="33">
        <v>10913.0</v>
      </c>
    </row>
    <row r="513" ht="22.5" hidden="1" customHeight="1">
      <c r="A513" s="35">
        <v>46235.66469201389</v>
      </c>
      <c r="B513" s="36">
        <v>46227.0</v>
      </c>
      <c r="C513" s="33" t="s">
        <v>64</v>
      </c>
      <c r="D513" s="33" t="s">
        <v>902</v>
      </c>
      <c r="E513" s="33" t="s">
        <v>778</v>
      </c>
      <c r="F513" s="38"/>
      <c r="G513" s="38"/>
      <c r="H513" s="33" t="s">
        <v>893</v>
      </c>
      <c r="I513" s="33">
        <v>2741.0</v>
      </c>
    </row>
    <row r="514" ht="22.5" hidden="1" customHeight="1">
      <c r="A514" s="35">
        <v>46235.667597719905</v>
      </c>
      <c r="B514" s="36">
        <v>45933.0</v>
      </c>
      <c r="C514" s="33" t="s">
        <v>64</v>
      </c>
      <c r="D514" s="33" t="s">
        <v>903</v>
      </c>
      <c r="E514" s="33" t="s">
        <v>691</v>
      </c>
      <c r="F514" s="33">
        <v>9.496473993E9</v>
      </c>
      <c r="G514" s="38"/>
      <c r="H514" s="33" t="s">
        <v>904</v>
      </c>
      <c r="I514" s="33">
        <v>5000.0</v>
      </c>
    </row>
    <row r="515" ht="22.5" hidden="1" customHeight="1">
      <c r="A515" s="35">
        <v>46235.67947847222</v>
      </c>
      <c r="B515" s="36">
        <v>45938.0</v>
      </c>
      <c r="C515" s="33" t="s">
        <v>64</v>
      </c>
      <c r="D515" s="33" t="s">
        <v>905</v>
      </c>
      <c r="E515" s="33" t="s">
        <v>478</v>
      </c>
      <c r="F515" s="38"/>
      <c r="G515" s="38"/>
      <c r="H515" s="33" t="s">
        <v>906</v>
      </c>
      <c r="I515" s="33">
        <v>1500.0</v>
      </c>
    </row>
    <row r="516" ht="22.5" hidden="1" customHeight="1">
      <c r="A516" s="35">
        <v>46235.680710659726</v>
      </c>
      <c r="B516" s="36">
        <v>45940.0</v>
      </c>
      <c r="C516" s="33" t="s">
        <v>64</v>
      </c>
      <c r="D516" s="33" t="s">
        <v>907</v>
      </c>
      <c r="E516" s="38"/>
      <c r="F516" s="33">
        <v>9.497404252E9</v>
      </c>
      <c r="G516" s="38"/>
      <c r="H516" s="33" t="s">
        <v>908</v>
      </c>
      <c r="I516" s="33">
        <v>1953.0</v>
      </c>
    </row>
    <row r="517" ht="22.5" hidden="1" customHeight="1">
      <c r="A517" s="35">
        <v>46235.68250905092</v>
      </c>
      <c r="B517" s="36">
        <v>45945.0</v>
      </c>
      <c r="C517" s="33" t="s">
        <v>64</v>
      </c>
      <c r="D517" s="33" t="s">
        <v>909</v>
      </c>
      <c r="E517" s="33" t="s">
        <v>910</v>
      </c>
      <c r="F517" s="33">
        <v>9.605467158E9</v>
      </c>
      <c r="G517" s="38"/>
      <c r="H517" s="33" t="s">
        <v>911</v>
      </c>
      <c r="I517" s="33">
        <v>5000.0</v>
      </c>
    </row>
    <row r="518" ht="22.5" hidden="1" customHeight="1">
      <c r="A518" s="35">
        <v>46235.687137280096</v>
      </c>
      <c r="B518" s="36">
        <v>45945.0</v>
      </c>
      <c r="C518" s="33" t="s">
        <v>64</v>
      </c>
      <c r="D518" s="33" t="s">
        <v>912</v>
      </c>
      <c r="E518" s="33" t="s">
        <v>913</v>
      </c>
      <c r="F518" s="38"/>
      <c r="G518" s="38"/>
      <c r="H518" s="33" t="s">
        <v>914</v>
      </c>
      <c r="I518" s="33">
        <v>2000.0</v>
      </c>
    </row>
    <row r="519" ht="22.5" hidden="1" customHeight="1">
      <c r="A519" s="35">
        <v>46235.692355625</v>
      </c>
      <c r="B519" s="36">
        <v>45945.0</v>
      </c>
      <c r="C519" s="33" t="s">
        <v>64</v>
      </c>
      <c r="D519" s="33" t="s">
        <v>915</v>
      </c>
      <c r="E519" s="33" t="s">
        <v>910</v>
      </c>
      <c r="F519" s="33">
        <v>9.40040981E9</v>
      </c>
      <c r="G519" s="38"/>
      <c r="H519" s="33" t="s">
        <v>914</v>
      </c>
      <c r="I519" s="33">
        <v>5000.0</v>
      </c>
    </row>
    <row r="520" ht="22.5" hidden="1" customHeight="1">
      <c r="A520" s="35">
        <v>46235.6932691088</v>
      </c>
      <c r="B520" s="36">
        <v>45945.0</v>
      </c>
      <c r="C520" s="33" t="s">
        <v>64</v>
      </c>
      <c r="D520" s="33" t="s">
        <v>916</v>
      </c>
      <c r="E520" s="38"/>
      <c r="F520" s="38"/>
      <c r="G520" s="38"/>
      <c r="H520" s="33" t="s">
        <v>914</v>
      </c>
      <c r="I520" s="33">
        <v>15000.0</v>
      </c>
    </row>
    <row r="521" ht="22.5" hidden="1" customHeight="1">
      <c r="A521" s="35">
        <v>46235.69722599537</v>
      </c>
      <c r="B521" s="36">
        <v>45945.0</v>
      </c>
      <c r="C521" s="33" t="s">
        <v>64</v>
      </c>
      <c r="D521" s="33" t="s">
        <v>917</v>
      </c>
      <c r="E521" s="33" t="s">
        <v>910</v>
      </c>
      <c r="F521" s="33">
        <v>9.40040981E9</v>
      </c>
      <c r="G521" s="38"/>
      <c r="H521" s="33" t="s">
        <v>914</v>
      </c>
      <c r="I521" s="33">
        <v>40000.0</v>
      </c>
    </row>
    <row r="522" ht="22.5" hidden="1" customHeight="1">
      <c r="A522" s="35">
        <v>46235.69814262731</v>
      </c>
      <c r="B522" s="36">
        <v>45945.0</v>
      </c>
      <c r="C522" s="33" t="s">
        <v>64</v>
      </c>
      <c r="D522" s="33" t="s">
        <v>169</v>
      </c>
      <c r="E522" s="33" t="s">
        <v>913</v>
      </c>
      <c r="F522" s="38"/>
      <c r="G522" s="38"/>
      <c r="H522" s="33" t="s">
        <v>914</v>
      </c>
      <c r="I522" s="33">
        <v>2000.0</v>
      </c>
    </row>
    <row r="523" ht="22.5" hidden="1" customHeight="1">
      <c r="A523" s="35">
        <v>46235.70046876157</v>
      </c>
      <c r="B523" s="36">
        <v>45946.0</v>
      </c>
      <c r="C523" s="33" t="s">
        <v>64</v>
      </c>
      <c r="D523" s="33" t="s">
        <v>918</v>
      </c>
      <c r="E523" s="33" t="s">
        <v>478</v>
      </c>
      <c r="F523" s="38"/>
      <c r="G523" s="38"/>
      <c r="H523" s="33" t="s">
        <v>919</v>
      </c>
      <c r="I523" s="33">
        <v>5300.0</v>
      </c>
    </row>
    <row r="524" ht="22.5" hidden="1" customHeight="1">
      <c r="A524" s="35">
        <v>46235.701841828704</v>
      </c>
      <c r="B524" s="36">
        <v>45953.0</v>
      </c>
      <c r="C524" s="33" t="s">
        <v>64</v>
      </c>
      <c r="D524" s="33" t="s">
        <v>920</v>
      </c>
      <c r="E524" s="33" t="s">
        <v>921</v>
      </c>
      <c r="F524" s="33">
        <v>9.496467074E9</v>
      </c>
      <c r="G524" s="38"/>
      <c r="H524" s="33" t="s">
        <v>922</v>
      </c>
      <c r="I524" s="33">
        <v>15000.0</v>
      </c>
    </row>
    <row r="525" ht="22.5" hidden="1" customHeight="1">
      <c r="A525" s="35">
        <v>46235.711906944445</v>
      </c>
      <c r="B525" s="36">
        <v>45957.0</v>
      </c>
      <c r="C525" s="33" t="s">
        <v>64</v>
      </c>
      <c r="D525" s="33" t="s">
        <v>189</v>
      </c>
      <c r="E525" s="33" t="s">
        <v>301</v>
      </c>
      <c r="F525" s="33">
        <v>9.886550894E9</v>
      </c>
      <c r="G525" s="38"/>
      <c r="H525" s="33" t="s">
        <v>923</v>
      </c>
      <c r="I525" s="33">
        <v>9000.0</v>
      </c>
    </row>
    <row r="526" ht="22.5" hidden="1" customHeight="1">
      <c r="A526" s="35">
        <v>46235.71267335648</v>
      </c>
      <c r="B526" s="36">
        <v>45957.0</v>
      </c>
      <c r="C526" s="33" t="s">
        <v>64</v>
      </c>
      <c r="D526" s="33" t="s">
        <v>187</v>
      </c>
      <c r="E526" s="33" t="s">
        <v>301</v>
      </c>
      <c r="F526" s="33">
        <v>9.886435575E9</v>
      </c>
      <c r="G526" s="38"/>
      <c r="H526" s="33" t="s">
        <v>923</v>
      </c>
      <c r="I526" s="33">
        <v>9000.0</v>
      </c>
    </row>
    <row r="527" ht="22.5" hidden="1" customHeight="1">
      <c r="A527" s="35">
        <v>46235.71354921296</v>
      </c>
      <c r="B527" s="36">
        <v>45957.0</v>
      </c>
      <c r="C527" s="33" t="s">
        <v>64</v>
      </c>
      <c r="D527" s="33" t="s">
        <v>924</v>
      </c>
      <c r="E527" s="33" t="s">
        <v>301</v>
      </c>
      <c r="F527" s="38"/>
      <c r="G527" s="38"/>
      <c r="H527" s="33" t="s">
        <v>923</v>
      </c>
      <c r="I527" s="33">
        <v>500.0</v>
      </c>
    </row>
    <row r="528" ht="22.5" hidden="1" customHeight="1">
      <c r="A528" s="35">
        <v>46235.71757232639</v>
      </c>
      <c r="B528" s="36">
        <v>45960.0</v>
      </c>
      <c r="C528" s="33" t="s">
        <v>64</v>
      </c>
      <c r="D528" s="33" t="s">
        <v>925</v>
      </c>
      <c r="E528" s="33" t="s">
        <v>277</v>
      </c>
      <c r="F528" s="33">
        <v>8.08632448E9</v>
      </c>
      <c r="G528" s="38"/>
      <c r="H528" s="33" t="s">
        <v>926</v>
      </c>
      <c r="I528" s="33">
        <v>500.0</v>
      </c>
    </row>
    <row r="529" ht="22.5" hidden="1" customHeight="1">
      <c r="A529" s="35">
        <v>46235.718322546294</v>
      </c>
      <c r="B529" s="36">
        <v>45960.0</v>
      </c>
      <c r="C529" s="33" t="s">
        <v>64</v>
      </c>
      <c r="D529" s="33" t="s">
        <v>927</v>
      </c>
      <c r="E529" s="33" t="s">
        <v>277</v>
      </c>
      <c r="F529" s="33">
        <v>9.947856757E9</v>
      </c>
      <c r="G529" s="38"/>
      <c r="H529" s="33" t="s">
        <v>926</v>
      </c>
      <c r="I529" s="33">
        <v>500.0</v>
      </c>
    </row>
    <row r="530" ht="22.5" hidden="1" customHeight="1">
      <c r="A530" s="35">
        <v>46235.718764641206</v>
      </c>
      <c r="B530" s="36">
        <v>45960.0</v>
      </c>
      <c r="C530" s="33" t="s">
        <v>64</v>
      </c>
      <c r="D530" s="33" t="s">
        <v>928</v>
      </c>
      <c r="E530" s="33" t="s">
        <v>277</v>
      </c>
      <c r="F530" s="33">
        <v>9.605480315E9</v>
      </c>
      <c r="G530" s="38"/>
      <c r="H530" s="33" t="s">
        <v>926</v>
      </c>
      <c r="I530" s="33">
        <v>500.0</v>
      </c>
    </row>
    <row r="531" ht="22.5" hidden="1" customHeight="1">
      <c r="A531" s="35">
        <v>46235.81766616898</v>
      </c>
      <c r="B531" s="36">
        <v>45902.0</v>
      </c>
      <c r="C531" s="33" t="s">
        <v>248</v>
      </c>
      <c r="D531" s="33" t="s">
        <v>182</v>
      </c>
      <c r="E531" s="38"/>
      <c r="F531" s="33">
        <v>9.71505275385E11</v>
      </c>
      <c r="G531" s="38"/>
      <c r="H531" s="33" t="s">
        <v>929</v>
      </c>
      <c r="I531" s="33">
        <v>10000.0</v>
      </c>
    </row>
    <row r="532" ht="22.5" hidden="1" customHeight="1">
      <c r="A532" s="35">
        <v>46235.81845877315</v>
      </c>
      <c r="B532" s="36">
        <v>45903.0</v>
      </c>
      <c r="C532" s="33" t="s">
        <v>50</v>
      </c>
      <c r="D532" s="31" t="s">
        <v>59</v>
      </c>
      <c r="E532" s="38"/>
      <c r="F532" s="29">
        <v>8.606781572E9</v>
      </c>
      <c r="G532" s="38"/>
      <c r="H532" s="33" t="s">
        <v>930</v>
      </c>
      <c r="I532" s="33">
        <v>2000.0</v>
      </c>
    </row>
    <row r="533" ht="22.5" hidden="1" customHeight="1">
      <c r="A533" s="35">
        <v>46235.81910064815</v>
      </c>
      <c r="B533" s="36">
        <v>45903.0</v>
      </c>
      <c r="C533" s="33" t="s">
        <v>50</v>
      </c>
      <c r="D533" s="33" t="s">
        <v>931</v>
      </c>
      <c r="E533" s="38"/>
      <c r="F533" s="33">
        <v>9.048854991E9</v>
      </c>
      <c r="G533" s="38"/>
      <c r="H533" s="33" t="s">
        <v>932</v>
      </c>
      <c r="I533" s="33">
        <v>500.0</v>
      </c>
    </row>
    <row r="534" ht="22.5" hidden="1" customHeight="1">
      <c r="A534" s="35">
        <v>46235.819910833336</v>
      </c>
      <c r="B534" s="36">
        <v>45903.0</v>
      </c>
      <c r="C534" s="33" t="s">
        <v>53</v>
      </c>
      <c r="D534" s="33" t="s">
        <v>933</v>
      </c>
      <c r="E534" s="38"/>
      <c r="F534" s="33">
        <v>9.048584543E9</v>
      </c>
      <c r="G534" s="38"/>
      <c r="H534" s="33" t="s">
        <v>934</v>
      </c>
      <c r="I534" s="33">
        <v>10000.0</v>
      </c>
    </row>
    <row r="535" ht="22.5" hidden="1" customHeight="1">
      <c r="A535" s="35">
        <v>46235.82086133102</v>
      </c>
      <c r="B535" s="36">
        <v>45904.0</v>
      </c>
      <c r="C535" s="33" t="s">
        <v>50</v>
      </c>
      <c r="D535" s="29" t="s">
        <v>51</v>
      </c>
      <c r="E535" s="38"/>
      <c r="F535" s="29">
        <v>9.71522263798E11</v>
      </c>
      <c r="G535" s="38"/>
      <c r="H535" s="33" t="s">
        <v>935</v>
      </c>
      <c r="I535" s="33">
        <v>1500.0</v>
      </c>
    </row>
    <row r="536" ht="22.5" hidden="1" customHeight="1">
      <c r="A536" s="35">
        <v>46235.82129962963</v>
      </c>
      <c r="B536" s="36">
        <v>45904.0</v>
      </c>
      <c r="C536" s="33" t="s">
        <v>53</v>
      </c>
      <c r="D536" s="33" t="s">
        <v>803</v>
      </c>
      <c r="E536" s="38"/>
      <c r="F536" s="33">
        <v>9.495920363E9</v>
      </c>
      <c r="G536" s="38"/>
      <c r="H536" s="33" t="s">
        <v>936</v>
      </c>
      <c r="I536" s="33">
        <v>2000.0</v>
      </c>
    </row>
    <row r="537" ht="22.5" hidden="1" customHeight="1">
      <c r="A537" s="35">
        <v>46236.437941516204</v>
      </c>
      <c r="B537" s="36">
        <v>45905.0</v>
      </c>
      <c r="C537" s="33" t="s">
        <v>50</v>
      </c>
      <c r="D537" s="33" t="s">
        <v>937</v>
      </c>
      <c r="E537" s="38"/>
      <c r="F537" s="33">
        <v>9.946717767E9</v>
      </c>
      <c r="G537" s="38"/>
      <c r="H537" s="33" t="s">
        <v>938</v>
      </c>
      <c r="I537" s="33">
        <v>10000.0</v>
      </c>
    </row>
    <row r="538" ht="22.5" hidden="1" customHeight="1">
      <c r="A538" s="35">
        <v>46236.438468946755</v>
      </c>
      <c r="B538" s="36">
        <v>45905.0</v>
      </c>
      <c r="C538" s="33" t="s">
        <v>53</v>
      </c>
      <c r="D538" s="33" t="s">
        <v>939</v>
      </c>
      <c r="E538" s="38"/>
      <c r="F538" s="33">
        <v>9.995598695E9</v>
      </c>
      <c r="G538" s="38"/>
      <c r="H538" s="33" t="s">
        <v>940</v>
      </c>
      <c r="I538" s="33">
        <v>12500.0</v>
      </c>
    </row>
    <row r="539" ht="22.5" hidden="1" customHeight="1">
      <c r="A539" s="35">
        <v>46236.43895516204</v>
      </c>
      <c r="B539" s="36">
        <v>45906.0</v>
      </c>
      <c r="C539" s="33" t="s">
        <v>53</v>
      </c>
      <c r="D539" s="33" t="s">
        <v>941</v>
      </c>
      <c r="E539" s="38"/>
      <c r="F539" s="33">
        <v>9.94663296E9</v>
      </c>
      <c r="G539" s="38"/>
      <c r="H539" s="33" t="s">
        <v>942</v>
      </c>
      <c r="I539" s="33">
        <v>2000.0</v>
      </c>
    </row>
    <row r="540" ht="22.5" hidden="1" customHeight="1">
      <c r="A540" s="35">
        <v>46236.439577060184</v>
      </c>
      <c r="B540" s="36">
        <v>45907.0</v>
      </c>
      <c r="C540" s="33" t="s">
        <v>53</v>
      </c>
      <c r="D540" s="33" t="s">
        <v>784</v>
      </c>
      <c r="E540" s="38"/>
      <c r="F540" s="33" t="s">
        <v>646</v>
      </c>
      <c r="G540" s="38"/>
      <c r="H540" s="33" t="s">
        <v>943</v>
      </c>
      <c r="I540" s="33">
        <v>2500.0</v>
      </c>
    </row>
    <row r="541" ht="22.5" hidden="1" customHeight="1">
      <c r="A541" s="35">
        <v>46236.44007038194</v>
      </c>
      <c r="B541" s="36">
        <v>45908.0</v>
      </c>
      <c r="C541" s="33" t="s">
        <v>50</v>
      </c>
      <c r="D541" s="33" t="s">
        <v>944</v>
      </c>
      <c r="E541" s="38"/>
      <c r="F541" s="33">
        <v>7.559885182E9</v>
      </c>
      <c r="G541" s="38"/>
      <c r="H541" s="33" t="s">
        <v>945</v>
      </c>
      <c r="I541" s="33">
        <v>15000.0</v>
      </c>
    </row>
    <row r="542" ht="22.5" hidden="1" customHeight="1">
      <c r="A542" s="35">
        <v>46236.44070496528</v>
      </c>
      <c r="B542" s="36">
        <v>45912.0</v>
      </c>
      <c r="C542" s="33" t="s">
        <v>50</v>
      </c>
      <c r="D542" s="33" t="s">
        <v>68</v>
      </c>
      <c r="E542" s="38"/>
      <c r="F542" s="29">
        <v>9.847880118E9</v>
      </c>
      <c r="G542" s="38"/>
      <c r="H542" s="33" t="s">
        <v>946</v>
      </c>
      <c r="I542" s="33">
        <v>2000.0</v>
      </c>
    </row>
    <row r="543" ht="22.5" hidden="1" customHeight="1">
      <c r="A543" s="35">
        <v>46236.441308043984</v>
      </c>
      <c r="B543" s="36">
        <v>45914.0</v>
      </c>
      <c r="C543" s="33" t="s">
        <v>248</v>
      </c>
      <c r="D543" s="33" t="s">
        <v>947</v>
      </c>
      <c r="E543" s="38"/>
      <c r="F543" s="33">
        <v>9.846846806E9</v>
      </c>
      <c r="G543" s="38"/>
      <c r="H543" s="33" t="s">
        <v>948</v>
      </c>
      <c r="I543" s="33">
        <v>1000.0</v>
      </c>
    </row>
    <row r="544" ht="22.5" hidden="1" customHeight="1">
      <c r="A544" s="35">
        <v>46236.44204917824</v>
      </c>
      <c r="B544" s="36">
        <v>45916.0</v>
      </c>
      <c r="C544" s="33" t="s">
        <v>53</v>
      </c>
      <c r="D544" s="33" t="s">
        <v>949</v>
      </c>
      <c r="E544" s="38"/>
      <c r="F544" s="33">
        <v>9.645314975E9</v>
      </c>
      <c r="G544" s="38"/>
      <c r="H544" s="33" t="s">
        <v>950</v>
      </c>
      <c r="I544" s="33">
        <v>30000.0</v>
      </c>
    </row>
    <row r="545" ht="22.5" hidden="1" customHeight="1">
      <c r="A545" s="35">
        <v>46236.44271342593</v>
      </c>
      <c r="B545" s="36">
        <v>45916.0</v>
      </c>
      <c r="C545" s="33" t="s">
        <v>50</v>
      </c>
      <c r="D545" s="33" t="s">
        <v>951</v>
      </c>
      <c r="E545" s="38"/>
      <c r="F545" s="33">
        <v>9.71554426919E11</v>
      </c>
      <c r="G545" s="38"/>
      <c r="H545" s="33" t="s">
        <v>952</v>
      </c>
      <c r="I545" s="33">
        <v>30000.0</v>
      </c>
    </row>
    <row r="546" ht="22.5" hidden="1" customHeight="1">
      <c r="A546" s="35">
        <v>46236.443444537035</v>
      </c>
      <c r="B546" s="36">
        <v>45921.0</v>
      </c>
      <c r="C546" s="33" t="s">
        <v>50</v>
      </c>
      <c r="D546" s="33" t="s">
        <v>953</v>
      </c>
      <c r="E546" s="38"/>
      <c r="F546" s="33">
        <v>9.946005986E9</v>
      </c>
      <c r="G546" s="38"/>
      <c r="H546" s="33" t="s">
        <v>954</v>
      </c>
      <c r="I546" s="33">
        <v>5000.0</v>
      </c>
    </row>
    <row r="547" ht="22.5" hidden="1" customHeight="1">
      <c r="A547" s="35">
        <v>46236.444009224535</v>
      </c>
      <c r="B547" s="36">
        <v>45921.0</v>
      </c>
      <c r="C547" s="33" t="s">
        <v>50</v>
      </c>
      <c r="D547" s="33" t="s">
        <v>955</v>
      </c>
      <c r="E547" s="38"/>
      <c r="F547" s="33">
        <v>9.446775865E9</v>
      </c>
      <c r="G547" s="38"/>
      <c r="H547" s="33" t="s">
        <v>956</v>
      </c>
      <c r="I547" s="33">
        <v>10000.0</v>
      </c>
    </row>
    <row r="548" ht="22.5" hidden="1" customHeight="1">
      <c r="A548" s="35">
        <v>46236.44458040509</v>
      </c>
      <c r="B548" s="36">
        <v>45922.0</v>
      </c>
      <c r="C548" s="33" t="s">
        <v>50</v>
      </c>
      <c r="D548" s="33" t="s">
        <v>957</v>
      </c>
      <c r="E548" s="38"/>
      <c r="F548" s="33" t="s">
        <v>958</v>
      </c>
      <c r="G548" s="38"/>
      <c r="H548" s="33" t="s">
        <v>959</v>
      </c>
      <c r="I548" s="33">
        <v>15000.0</v>
      </c>
    </row>
    <row r="549" ht="22.5" hidden="1" customHeight="1">
      <c r="A549" s="35">
        <v>46236.45612783565</v>
      </c>
      <c r="B549" s="36">
        <v>45912.0</v>
      </c>
      <c r="C549" s="33" t="s">
        <v>64</v>
      </c>
      <c r="D549" s="33" t="s">
        <v>960</v>
      </c>
      <c r="E549" s="33" t="s">
        <v>961</v>
      </c>
      <c r="F549" s="38"/>
      <c r="G549" s="38"/>
      <c r="H549" s="33" t="s">
        <v>962</v>
      </c>
      <c r="I549" s="33">
        <v>2500.0</v>
      </c>
    </row>
    <row r="550" ht="22.5" hidden="1" customHeight="1">
      <c r="A550" s="35">
        <v>46236.45661736111</v>
      </c>
      <c r="B550" s="36">
        <v>45914.0</v>
      </c>
      <c r="C550" s="33" t="s">
        <v>64</v>
      </c>
      <c r="D550" s="33" t="s">
        <v>963</v>
      </c>
      <c r="E550" s="38"/>
      <c r="F550" s="33">
        <v>9.495418298E9</v>
      </c>
      <c r="G550" s="38"/>
      <c r="H550" s="33" t="s">
        <v>964</v>
      </c>
      <c r="I550" s="33">
        <v>15000.0</v>
      </c>
    </row>
    <row r="551" ht="22.5" hidden="1" customHeight="1">
      <c r="A551" s="35">
        <v>46236.45793012732</v>
      </c>
      <c r="B551" s="36">
        <v>45921.0</v>
      </c>
      <c r="C551" s="33" t="s">
        <v>64</v>
      </c>
      <c r="D551" s="33" t="s">
        <v>965</v>
      </c>
      <c r="E551" s="38"/>
      <c r="F551" s="33">
        <v>9.745724503E9</v>
      </c>
      <c r="G551" s="38"/>
      <c r="H551" s="33" t="s">
        <v>966</v>
      </c>
      <c r="I551" s="33">
        <v>5000.0</v>
      </c>
    </row>
    <row r="552" ht="22.5" hidden="1" customHeight="1">
      <c r="A552" s="35">
        <v>46236.45851283565</v>
      </c>
      <c r="B552" s="36">
        <v>45921.0</v>
      </c>
      <c r="C552" s="33" t="s">
        <v>64</v>
      </c>
      <c r="D552" s="33" t="s">
        <v>967</v>
      </c>
      <c r="E552" s="38"/>
      <c r="F552" s="33">
        <v>8.129269458E9</v>
      </c>
      <c r="G552" s="38"/>
      <c r="H552" s="33" t="s">
        <v>966</v>
      </c>
      <c r="I552" s="33">
        <v>2000.0</v>
      </c>
    </row>
    <row r="553" ht="22.5" hidden="1" customHeight="1">
      <c r="A553" s="35">
        <v>46236.45920675926</v>
      </c>
      <c r="B553" s="36">
        <v>45921.0</v>
      </c>
      <c r="C553" s="33" t="s">
        <v>64</v>
      </c>
      <c r="D553" s="33" t="s">
        <v>968</v>
      </c>
      <c r="E553" s="38"/>
      <c r="F553" s="33">
        <v>9.89527027E9</v>
      </c>
      <c r="G553" s="38"/>
      <c r="H553" s="33" t="s">
        <v>969</v>
      </c>
      <c r="I553" s="33">
        <v>10000.0</v>
      </c>
    </row>
    <row r="554" ht="22.5" hidden="1" customHeight="1">
      <c r="A554" s="35">
        <v>46236.45948755787</v>
      </c>
      <c r="B554" s="36">
        <v>45924.0</v>
      </c>
      <c r="C554" s="33" t="s">
        <v>53</v>
      </c>
      <c r="D554" s="33" t="s">
        <v>633</v>
      </c>
      <c r="E554" s="38"/>
      <c r="F554" s="33">
        <v>9.745759562E9</v>
      </c>
      <c r="G554" s="38"/>
      <c r="H554" s="33" t="s">
        <v>970</v>
      </c>
      <c r="I554" s="33">
        <v>100.0</v>
      </c>
    </row>
    <row r="555" ht="22.5" hidden="1" customHeight="1">
      <c r="A555" s="35">
        <v>46236.46003248842</v>
      </c>
      <c r="B555" s="36">
        <v>45925.0</v>
      </c>
      <c r="C555" s="33" t="s">
        <v>50</v>
      </c>
      <c r="D555" s="33" t="s">
        <v>971</v>
      </c>
      <c r="E555" s="38"/>
      <c r="F555" s="33">
        <v>9.846090598E9</v>
      </c>
      <c r="G555" s="38"/>
      <c r="H555" s="33" t="s">
        <v>972</v>
      </c>
      <c r="I555" s="33">
        <v>25000.0</v>
      </c>
    </row>
    <row r="556" ht="22.5" hidden="1" customHeight="1">
      <c r="A556" s="35">
        <v>46236.460581666666</v>
      </c>
      <c r="B556" s="36">
        <v>45925.0</v>
      </c>
      <c r="C556" s="33" t="s">
        <v>50</v>
      </c>
      <c r="D556" s="33" t="s">
        <v>178</v>
      </c>
      <c r="E556" s="38"/>
      <c r="F556" s="33">
        <v>6.235536872E9</v>
      </c>
      <c r="G556" s="38"/>
      <c r="H556" s="33" t="s">
        <v>973</v>
      </c>
      <c r="I556" s="33">
        <v>2700.0</v>
      </c>
    </row>
    <row r="557" ht="22.5" hidden="1" customHeight="1">
      <c r="A557" s="35">
        <v>46236.46113984953</v>
      </c>
      <c r="B557" s="36">
        <v>45929.0</v>
      </c>
      <c r="C557" s="33" t="s">
        <v>53</v>
      </c>
      <c r="D557" s="33" t="s">
        <v>974</v>
      </c>
      <c r="E557" s="38"/>
      <c r="F557" s="33">
        <v>9.947592528E9</v>
      </c>
      <c r="G557" s="38"/>
      <c r="H557" s="33" t="s">
        <v>975</v>
      </c>
      <c r="I557" s="33">
        <v>500.0</v>
      </c>
    </row>
    <row r="558" ht="22.5" hidden="1" customHeight="1">
      <c r="A558" s="35">
        <v>46236.463292939814</v>
      </c>
      <c r="B558" s="36">
        <v>45875.0</v>
      </c>
      <c r="C558" s="33" t="s">
        <v>64</v>
      </c>
      <c r="D558" s="33" t="s">
        <v>976</v>
      </c>
      <c r="E558" s="38"/>
      <c r="F558" s="33">
        <v>9.746744738E9</v>
      </c>
      <c r="G558" s="38"/>
      <c r="H558" s="33" t="s">
        <v>977</v>
      </c>
      <c r="I558" s="33">
        <v>10000.0</v>
      </c>
    </row>
    <row r="559" ht="22.5" hidden="1" customHeight="1">
      <c r="A559" s="35">
        <v>46236.46484321759</v>
      </c>
      <c r="B559" s="36">
        <v>45877.0</v>
      </c>
      <c r="C559" s="33" t="s">
        <v>64</v>
      </c>
      <c r="D559" s="33" t="s">
        <v>978</v>
      </c>
      <c r="E559" s="33" t="s">
        <v>691</v>
      </c>
      <c r="F559" s="33">
        <v>9.526711844E9</v>
      </c>
      <c r="G559" s="38"/>
      <c r="H559" s="33" t="s">
        <v>979</v>
      </c>
      <c r="I559" s="33">
        <v>6000.0</v>
      </c>
    </row>
    <row r="560" ht="22.5" hidden="1" customHeight="1">
      <c r="A560" s="35">
        <v>46236.46575525463</v>
      </c>
      <c r="B560" s="36">
        <v>45891.0</v>
      </c>
      <c r="C560" s="33" t="s">
        <v>64</v>
      </c>
      <c r="D560" s="33" t="s">
        <v>980</v>
      </c>
      <c r="E560" s="33" t="s">
        <v>981</v>
      </c>
      <c r="F560" s="33">
        <v>6.89586342E9</v>
      </c>
      <c r="G560" s="38"/>
      <c r="H560" s="33" t="s">
        <v>982</v>
      </c>
      <c r="I560" s="33">
        <v>2100.0</v>
      </c>
    </row>
    <row r="561" ht="22.5" hidden="1" customHeight="1">
      <c r="A561" s="35">
        <v>46236.46678934028</v>
      </c>
      <c r="B561" s="36">
        <v>45893.0</v>
      </c>
      <c r="C561" s="33" t="s">
        <v>64</v>
      </c>
      <c r="D561" s="33" t="s">
        <v>382</v>
      </c>
      <c r="E561" s="33" t="s">
        <v>983</v>
      </c>
      <c r="F561" s="33">
        <v>9.447215184E9</v>
      </c>
      <c r="G561" s="38"/>
      <c r="H561" s="33" t="s">
        <v>984</v>
      </c>
      <c r="I561" s="33">
        <v>25000.0</v>
      </c>
    </row>
    <row r="562" ht="22.5" hidden="1" customHeight="1">
      <c r="A562" s="35">
        <v>46236.50673659722</v>
      </c>
      <c r="B562" s="36">
        <v>45896.0</v>
      </c>
      <c r="C562" s="33" t="s">
        <v>64</v>
      </c>
      <c r="D562" s="33" t="s">
        <v>985</v>
      </c>
      <c r="E562" s="38"/>
      <c r="F562" s="33">
        <v>9.745759562E9</v>
      </c>
      <c r="G562" s="38"/>
      <c r="H562" s="33" t="s">
        <v>986</v>
      </c>
      <c r="I562" s="33">
        <v>7500.0</v>
      </c>
    </row>
    <row r="563" ht="22.5" hidden="1" customHeight="1">
      <c r="A563" s="35">
        <v>46236.50703412037</v>
      </c>
      <c r="B563" s="36">
        <v>45896.0</v>
      </c>
      <c r="C563" s="33" t="s">
        <v>64</v>
      </c>
      <c r="D563" s="33" t="s">
        <v>985</v>
      </c>
      <c r="E563" s="38"/>
      <c r="F563" s="33">
        <v>9.745759562E9</v>
      </c>
      <c r="G563" s="38"/>
      <c r="H563" s="33" t="s">
        <v>987</v>
      </c>
      <c r="I563" s="33">
        <v>7500.0</v>
      </c>
    </row>
    <row r="564" ht="22.5" hidden="1" customHeight="1">
      <c r="A564" s="35">
        <v>46236.508413206015</v>
      </c>
      <c r="B564" s="36">
        <v>45870.0</v>
      </c>
      <c r="C564" s="33" t="s">
        <v>53</v>
      </c>
      <c r="D564" s="33" t="s">
        <v>988</v>
      </c>
      <c r="E564" s="33" t="s">
        <v>277</v>
      </c>
      <c r="F564" s="33">
        <v>9.7155759321E10</v>
      </c>
      <c r="G564" s="38"/>
      <c r="H564" s="33" t="s">
        <v>989</v>
      </c>
      <c r="I564" s="33">
        <v>1000.0</v>
      </c>
    </row>
    <row r="565" ht="22.5" hidden="1" customHeight="1">
      <c r="A565" s="35">
        <v>46236.508950972224</v>
      </c>
      <c r="B565" s="36">
        <v>45871.0</v>
      </c>
      <c r="C565" s="33" t="s">
        <v>53</v>
      </c>
      <c r="D565" s="33" t="s">
        <v>990</v>
      </c>
      <c r="E565" s="33" t="s">
        <v>277</v>
      </c>
      <c r="F565" s="33">
        <v>8.547805049E9</v>
      </c>
      <c r="G565" s="38"/>
      <c r="H565" s="33" t="s">
        <v>991</v>
      </c>
      <c r="I565" s="33">
        <v>500.0</v>
      </c>
    </row>
    <row r="566" ht="22.5" hidden="1" customHeight="1">
      <c r="A566" s="35">
        <v>46236.509830254625</v>
      </c>
      <c r="B566" s="36">
        <v>45872.0</v>
      </c>
      <c r="C566" s="33" t="s">
        <v>64</v>
      </c>
      <c r="D566" s="31" t="s">
        <v>59</v>
      </c>
      <c r="E566" s="38"/>
      <c r="F566" s="29">
        <v>8.606781572E9</v>
      </c>
      <c r="G566" s="38"/>
      <c r="H566" s="33" t="s">
        <v>992</v>
      </c>
      <c r="I566" s="33">
        <v>2000.0</v>
      </c>
    </row>
    <row r="567" ht="22.5" hidden="1" customHeight="1">
      <c r="A567" s="35">
        <v>46236.510255127316</v>
      </c>
      <c r="B567" s="36">
        <v>45872.0</v>
      </c>
      <c r="C567" s="33" t="s">
        <v>64</v>
      </c>
      <c r="D567" s="33" t="s">
        <v>993</v>
      </c>
      <c r="E567" s="33" t="s">
        <v>277</v>
      </c>
      <c r="F567" s="33">
        <v>9.061947102E9</v>
      </c>
      <c r="G567" s="38"/>
      <c r="H567" s="33" t="s">
        <v>994</v>
      </c>
      <c r="I567" s="33">
        <v>500.0</v>
      </c>
    </row>
    <row r="568" ht="22.5" hidden="1" customHeight="1">
      <c r="A568" s="35">
        <v>46236.51077770833</v>
      </c>
      <c r="B568" s="36">
        <v>45872.0</v>
      </c>
      <c r="C568" s="33" t="s">
        <v>53</v>
      </c>
      <c r="D568" s="33" t="s">
        <v>995</v>
      </c>
      <c r="E568" s="33" t="s">
        <v>277</v>
      </c>
      <c r="F568" s="33">
        <v>9.745220312E9</v>
      </c>
      <c r="G568" s="38"/>
      <c r="H568" s="33" t="s">
        <v>996</v>
      </c>
      <c r="I568" s="33">
        <v>500.0</v>
      </c>
    </row>
    <row r="569" ht="22.5" hidden="1" customHeight="1">
      <c r="A569" s="35">
        <v>46236.511190833335</v>
      </c>
      <c r="B569" s="36">
        <v>45873.0</v>
      </c>
      <c r="C569" s="33" t="s">
        <v>50</v>
      </c>
      <c r="D569" s="33" t="s">
        <v>997</v>
      </c>
      <c r="E569" s="38"/>
      <c r="F569" s="33">
        <v>9.746928E9</v>
      </c>
      <c r="G569" s="38"/>
      <c r="H569" s="33" t="s">
        <v>998</v>
      </c>
      <c r="I569" s="33">
        <v>12500.0</v>
      </c>
    </row>
    <row r="570" ht="22.5" hidden="1" customHeight="1">
      <c r="A570" s="35">
        <v>46236.51192134259</v>
      </c>
      <c r="B570" s="36">
        <v>45873.0</v>
      </c>
      <c r="C570" s="33" t="s">
        <v>50</v>
      </c>
      <c r="D570" s="29" t="s">
        <v>57</v>
      </c>
      <c r="E570" s="33" t="s">
        <v>277</v>
      </c>
      <c r="F570" s="29">
        <v>8.943021829E9</v>
      </c>
      <c r="G570" s="38"/>
      <c r="H570" s="33" t="s">
        <v>999</v>
      </c>
      <c r="I570" s="33">
        <v>2000.0</v>
      </c>
    </row>
    <row r="571" ht="22.5" hidden="1" customHeight="1">
      <c r="A571" s="35">
        <v>46236.512346793985</v>
      </c>
      <c r="B571" s="36">
        <v>45874.0</v>
      </c>
      <c r="C571" s="33" t="s">
        <v>50</v>
      </c>
      <c r="D571" s="33" t="s">
        <v>68</v>
      </c>
      <c r="E571" s="38"/>
      <c r="F571" s="29">
        <v>9.847880118E9</v>
      </c>
      <c r="G571" s="38"/>
      <c r="H571" s="33" t="s">
        <v>1000</v>
      </c>
      <c r="I571" s="33">
        <v>2500.0</v>
      </c>
    </row>
    <row r="572" ht="22.5" hidden="1" customHeight="1">
      <c r="A572" s="35">
        <v>46236.51293952546</v>
      </c>
      <c r="B572" s="36">
        <v>45874.0</v>
      </c>
      <c r="C572" s="33" t="s">
        <v>53</v>
      </c>
      <c r="D572" s="33" t="s">
        <v>1001</v>
      </c>
      <c r="E572" s="33" t="s">
        <v>277</v>
      </c>
      <c r="F572" s="33">
        <v>7.012085383E9</v>
      </c>
      <c r="G572" s="38"/>
      <c r="H572" s="33" t="s">
        <v>1002</v>
      </c>
      <c r="I572" s="33">
        <v>500.0</v>
      </c>
    </row>
    <row r="573" ht="22.5" hidden="1" customHeight="1">
      <c r="A573" s="35">
        <v>46236.51349275463</v>
      </c>
      <c r="B573" s="36">
        <v>45874.0</v>
      </c>
      <c r="C573" s="33" t="s">
        <v>53</v>
      </c>
      <c r="D573" s="31" t="s">
        <v>204</v>
      </c>
      <c r="E573" s="38"/>
      <c r="F573" s="29">
        <v>9.7430216158E10</v>
      </c>
      <c r="G573" s="38"/>
      <c r="H573" s="33" t="s">
        <v>1003</v>
      </c>
      <c r="I573" s="33">
        <v>1500.0</v>
      </c>
    </row>
    <row r="574" ht="22.5" hidden="1" customHeight="1">
      <c r="A574" s="35">
        <v>46236.537302881945</v>
      </c>
      <c r="B574" s="36">
        <v>46232.0</v>
      </c>
      <c r="C574" s="33" t="s">
        <v>53</v>
      </c>
      <c r="D574" s="33" t="s">
        <v>1004</v>
      </c>
      <c r="E574" s="38"/>
      <c r="F574" s="33">
        <v>9.44625269E9</v>
      </c>
      <c r="G574" s="38"/>
      <c r="H574" s="33" t="s">
        <v>1005</v>
      </c>
      <c r="I574" s="33">
        <v>6000.0</v>
      </c>
    </row>
    <row r="575" ht="22.5" hidden="1" customHeight="1">
      <c r="A575" s="35">
        <v>46236.53810734954</v>
      </c>
      <c r="B575" s="36">
        <v>46232.0</v>
      </c>
      <c r="C575" s="33" t="s">
        <v>50</v>
      </c>
      <c r="D575" s="33" t="s">
        <v>344</v>
      </c>
      <c r="E575" s="38"/>
      <c r="F575" s="33">
        <v>9.048515649E9</v>
      </c>
      <c r="G575" s="38"/>
      <c r="H575" s="33" t="s">
        <v>1006</v>
      </c>
      <c r="I575" s="33">
        <v>2500.0</v>
      </c>
    </row>
    <row r="576" ht="22.5" hidden="1" customHeight="1">
      <c r="A576" s="35">
        <v>46236.53849554398</v>
      </c>
      <c r="B576" s="36">
        <v>46233.0</v>
      </c>
      <c r="C576" s="33" t="s">
        <v>50</v>
      </c>
      <c r="D576" s="33" t="s">
        <v>68</v>
      </c>
      <c r="E576" s="38"/>
      <c r="F576" s="29">
        <v>9.847880118E9</v>
      </c>
      <c r="G576" s="38"/>
      <c r="H576" s="33" t="s">
        <v>1007</v>
      </c>
      <c r="I576" s="33">
        <v>4000.0</v>
      </c>
    </row>
    <row r="577" ht="22.5" hidden="1" customHeight="1">
      <c r="A577" s="35">
        <v>46236.53886971065</v>
      </c>
      <c r="B577" s="36">
        <v>46234.0</v>
      </c>
      <c r="C577" s="33" t="s">
        <v>50</v>
      </c>
      <c r="D577" s="29" t="s">
        <v>51</v>
      </c>
      <c r="E577" s="38"/>
      <c r="F577" s="29">
        <v>9.71522263798E11</v>
      </c>
      <c r="G577" s="38"/>
      <c r="H577" s="33" t="s">
        <v>1008</v>
      </c>
      <c r="I577" s="33">
        <v>3000.0</v>
      </c>
    </row>
    <row r="578" ht="22.5" hidden="1" customHeight="1">
      <c r="A578" s="35">
        <v>46236.53917797454</v>
      </c>
      <c r="B578" s="36">
        <v>46234.0</v>
      </c>
      <c r="C578" s="33" t="s">
        <v>50</v>
      </c>
      <c r="D578" s="33" t="s">
        <v>1009</v>
      </c>
      <c r="E578" s="38"/>
      <c r="F578" s="33">
        <v>9.71556778851E11</v>
      </c>
      <c r="G578" s="38"/>
      <c r="H578" s="33" t="s">
        <v>1010</v>
      </c>
      <c r="I578" s="33">
        <v>5000.0</v>
      </c>
    </row>
    <row r="579" ht="22.5" hidden="1" customHeight="1">
      <c r="A579" s="35">
        <v>46236.53949038194</v>
      </c>
      <c r="B579" s="36">
        <v>46234.0</v>
      </c>
      <c r="C579" s="33" t="s">
        <v>50</v>
      </c>
      <c r="D579" s="33" t="s">
        <v>462</v>
      </c>
      <c r="E579" s="38"/>
      <c r="F579" s="33">
        <v>9.656530305E9</v>
      </c>
      <c r="G579" s="38"/>
      <c r="H579" s="33" t="s">
        <v>1011</v>
      </c>
      <c r="I579" s="33">
        <v>5000.0</v>
      </c>
    </row>
    <row r="580" ht="22.5" hidden="1" customHeight="1">
      <c r="A580" s="35">
        <v>46236.54076578704</v>
      </c>
      <c r="B580" s="36">
        <v>45875.0</v>
      </c>
      <c r="C580" s="33" t="s">
        <v>53</v>
      </c>
      <c r="D580" s="33" t="s">
        <v>450</v>
      </c>
      <c r="E580" s="38"/>
      <c r="F580" s="33">
        <v>9.7433798583E10</v>
      </c>
      <c r="G580" s="38"/>
      <c r="H580" s="33" t="s">
        <v>1012</v>
      </c>
      <c r="I580" s="33">
        <v>2500.0</v>
      </c>
    </row>
    <row r="581" ht="22.5" hidden="1" customHeight="1">
      <c r="A581" s="35">
        <v>46236.54145427083</v>
      </c>
      <c r="B581" s="36">
        <v>45876.0</v>
      </c>
      <c r="C581" s="33" t="s">
        <v>50</v>
      </c>
      <c r="D581" s="33" t="s">
        <v>1013</v>
      </c>
      <c r="E581" s="33" t="s">
        <v>277</v>
      </c>
      <c r="F581" s="33">
        <v>9.656888746E9</v>
      </c>
      <c r="G581" s="38"/>
      <c r="H581" s="33" t="s">
        <v>1014</v>
      </c>
      <c r="I581" s="33">
        <v>500.0</v>
      </c>
    </row>
    <row r="582" ht="22.5" hidden="1" customHeight="1">
      <c r="A582" s="35">
        <v>46236.54185299769</v>
      </c>
      <c r="B582" s="36">
        <v>45876.0</v>
      </c>
      <c r="C582" s="33" t="s">
        <v>50</v>
      </c>
      <c r="D582" s="33" t="s">
        <v>1015</v>
      </c>
      <c r="E582" s="33" t="s">
        <v>277</v>
      </c>
      <c r="F582" s="33">
        <v>9.06123938E9</v>
      </c>
      <c r="G582" s="38"/>
      <c r="H582" s="33" t="s">
        <v>1016</v>
      </c>
      <c r="I582" s="33">
        <v>500.0</v>
      </c>
    </row>
    <row r="583" ht="22.5" hidden="1" customHeight="1">
      <c r="A583" s="35">
        <v>46236.54231107639</v>
      </c>
      <c r="B583" s="36">
        <v>45876.0</v>
      </c>
      <c r="C583" s="33" t="s">
        <v>50</v>
      </c>
      <c r="D583" s="33" t="s">
        <v>1017</v>
      </c>
      <c r="E583" s="33" t="s">
        <v>277</v>
      </c>
      <c r="F583" s="33">
        <v>9.048468146E9</v>
      </c>
      <c r="G583" s="38"/>
      <c r="H583" s="33" t="s">
        <v>1018</v>
      </c>
      <c r="I583" s="33">
        <v>500.0</v>
      </c>
    </row>
    <row r="584" ht="22.5" hidden="1" customHeight="1">
      <c r="A584" s="35">
        <v>46236.542910324075</v>
      </c>
      <c r="B584" s="36">
        <v>45880.0</v>
      </c>
      <c r="C584" s="33" t="s">
        <v>53</v>
      </c>
      <c r="D584" s="33" t="s">
        <v>1019</v>
      </c>
      <c r="E584" s="38"/>
      <c r="F584" s="33">
        <v>9.605515253E9</v>
      </c>
      <c r="G584" s="38"/>
      <c r="H584" s="33" t="s">
        <v>1020</v>
      </c>
      <c r="I584" s="33">
        <v>30000.0</v>
      </c>
    </row>
    <row r="585" ht="22.5" hidden="1" customHeight="1">
      <c r="A585" s="35">
        <v>46236.54334344907</v>
      </c>
      <c r="B585" s="36">
        <v>45882.0</v>
      </c>
      <c r="C585" s="33" t="s">
        <v>248</v>
      </c>
      <c r="D585" s="33" t="s">
        <v>1021</v>
      </c>
      <c r="E585" s="38"/>
      <c r="F585" s="33">
        <v>9.8468468E8</v>
      </c>
      <c r="G585" s="38"/>
      <c r="H585" s="33" t="s">
        <v>1022</v>
      </c>
      <c r="I585" s="33">
        <v>5000.0</v>
      </c>
    </row>
    <row r="586" ht="22.5" hidden="1" customHeight="1">
      <c r="A586" s="35">
        <v>46236.543758935186</v>
      </c>
      <c r="B586" s="36">
        <v>45883.0</v>
      </c>
      <c r="C586" s="33" t="s">
        <v>53</v>
      </c>
      <c r="D586" s="33" t="s">
        <v>1023</v>
      </c>
      <c r="E586" s="38"/>
      <c r="F586" s="33">
        <v>7.994571166E9</v>
      </c>
      <c r="G586" s="38"/>
      <c r="H586" s="33" t="s">
        <v>1024</v>
      </c>
      <c r="I586" s="33">
        <v>2000.0</v>
      </c>
    </row>
    <row r="587" ht="22.5" hidden="1" customHeight="1">
      <c r="A587" s="35">
        <v>46236.54421460648</v>
      </c>
      <c r="B587" s="36">
        <v>45890.0</v>
      </c>
      <c r="C587" s="33" t="s">
        <v>53</v>
      </c>
      <c r="D587" s="33" t="s">
        <v>1025</v>
      </c>
      <c r="E587" s="38"/>
      <c r="F587" s="33">
        <v>9.94643296E9</v>
      </c>
      <c r="G587" s="38"/>
      <c r="H587" s="33" t="s">
        <v>1026</v>
      </c>
      <c r="I587" s="33">
        <v>2000.0</v>
      </c>
    </row>
    <row r="588" ht="22.5" hidden="1" customHeight="1">
      <c r="A588" s="35">
        <v>46236.54523354166</v>
      </c>
      <c r="B588" s="36">
        <v>45895.0</v>
      </c>
      <c r="C588" s="33" t="s">
        <v>53</v>
      </c>
      <c r="D588" s="33" t="s">
        <v>1027</v>
      </c>
      <c r="E588" s="38"/>
      <c r="F588" s="33">
        <v>9.746087057E9</v>
      </c>
      <c r="G588" s="38"/>
      <c r="H588" s="33" t="s">
        <v>1028</v>
      </c>
      <c r="I588" s="33">
        <v>12000.0</v>
      </c>
    </row>
    <row r="589" ht="22.5" hidden="1" customHeight="1">
      <c r="A589" s="35">
        <v>46236.545769212964</v>
      </c>
      <c r="B589" s="36">
        <v>45900.0</v>
      </c>
      <c r="C589" s="33" t="s">
        <v>50</v>
      </c>
      <c r="D589" s="29" t="s">
        <v>57</v>
      </c>
      <c r="E589" s="38"/>
      <c r="F589" s="29">
        <v>8.943021829E9</v>
      </c>
      <c r="G589" s="38"/>
      <c r="H589" s="33" t="s">
        <v>1029</v>
      </c>
      <c r="I589" s="33">
        <v>2000.0</v>
      </c>
    </row>
    <row r="590" ht="22.5" hidden="1" customHeight="1">
      <c r="A590" s="35">
        <v>46236.59030454861</v>
      </c>
      <c r="B590" s="36">
        <v>45840.0</v>
      </c>
      <c r="C590" s="33" t="s">
        <v>50</v>
      </c>
      <c r="D590" s="31" t="s">
        <v>59</v>
      </c>
      <c r="E590" s="38"/>
      <c r="F590" s="29">
        <v>8.606781572E9</v>
      </c>
      <c r="G590" s="38"/>
      <c r="H590" s="33" t="s">
        <v>1030</v>
      </c>
      <c r="I590" s="33">
        <v>2000.0</v>
      </c>
    </row>
    <row r="591" ht="22.5" hidden="1" customHeight="1">
      <c r="A591" s="35">
        <v>46236.591189178245</v>
      </c>
      <c r="B591" s="36">
        <v>45841.0</v>
      </c>
      <c r="C591" s="33" t="s">
        <v>64</v>
      </c>
      <c r="D591" s="33" t="s">
        <v>967</v>
      </c>
      <c r="E591" s="38"/>
      <c r="F591" s="33">
        <v>8.129269458E9</v>
      </c>
      <c r="G591" s="38"/>
      <c r="H591" s="33" t="s">
        <v>1031</v>
      </c>
      <c r="I591" s="33">
        <v>2000.0</v>
      </c>
    </row>
    <row r="592" ht="22.5" hidden="1" customHeight="1">
      <c r="A592" s="35">
        <v>46236.591558125</v>
      </c>
      <c r="B592" s="36">
        <v>45841.0</v>
      </c>
      <c r="C592" s="33" t="s">
        <v>50</v>
      </c>
      <c r="D592" s="33" t="s">
        <v>349</v>
      </c>
      <c r="E592" s="38"/>
      <c r="F592" s="33">
        <v>6.235536872E9</v>
      </c>
      <c r="G592" s="38"/>
      <c r="H592" s="33" t="s">
        <v>1032</v>
      </c>
      <c r="I592" s="33">
        <v>3000.0</v>
      </c>
    </row>
    <row r="593" ht="22.5" hidden="1" customHeight="1">
      <c r="A593" s="35">
        <v>46236.5919483912</v>
      </c>
      <c r="B593" s="36">
        <v>45841.0</v>
      </c>
      <c r="C593" s="33" t="s">
        <v>50</v>
      </c>
      <c r="D593" s="29" t="s">
        <v>57</v>
      </c>
      <c r="E593" s="38"/>
      <c r="F593" s="29">
        <v>8.943021829E9</v>
      </c>
      <c r="G593" s="38"/>
      <c r="H593" s="33" t="s">
        <v>1033</v>
      </c>
      <c r="I593" s="33">
        <v>2000.0</v>
      </c>
    </row>
    <row r="594" ht="22.5" hidden="1" customHeight="1">
      <c r="A594" s="35">
        <v>46236.597276238426</v>
      </c>
      <c r="B594" s="36">
        <v>45842.0</v>
      </c>
      <c r="C594" s="33" t="s">
        <v>64</v>
      </c>
      <c r="D594" s="33" t="s">
        <v>903</v>
      </c>
      <c r="E594" s="38"/>
      <c r="F594" s="33">
        <v>9.496473993E9</v>
      </c>
      <c r="G594" s="38"/>
      <c r="H594" s="33" t="s">
        <v>1034</v>
      </c>
      <c r="I594" s="33">
        <v>5000.0</v>
      </c>
    </row>
    <row r="595" ht="22.5" hidden="1" customHeight="1">
      <c r="A595" s="35">
        <v>46236.59776805555</v>
      </c>
      <c r="B595" s="36">
        <v>45842.0</v>
      </c>
      <c r="C595" s="33" t="s">
        <v>50</v>
      </c>
      <c r="D595" s="33" t="s">
        <v>68</v>
      </c>
      <c r="E595" s="38"/>
      <c r="F595" s="33">
        <v>9.8478808118E10</v>
      </c>
      <c r="G595" s="38"/>
      <c r="H595" s="33" t="s">
        <v>1035</v>
      </c>
      <c r="I595" s="33">
        <v>2500.0</v>
      </c>
    </row>
    <row r="596" ht="22.5" hidden="1" customHeight="1">
      <c r="A596" s="35">
        <v>46236.59815535879</v>
      </c>
      <c r="B596" s="36">
        <v>45845.0</v>
      </c>
      <c r="C596" s="33" t="s">
        <v>50</v>
      </c>
      <c r="D596" s="33" t="s">
        <v>1036</v>
      </c>
      <c r="E596" s="38"/>
      <c r="F596" s="33">
        <v>9.96186196E9</v>
      </c>
      <c r="G596" s="38"/>
      <c r="H596" s="33" t="s">
        <v>1037</v>
      </c>
      <c r="I596" s="33">
        <v>30000.0</v>
      </c>
    </row>
    <row r="597" ht="22.5" hidden="1" customHeight="1">
      <c r="A597" s="35">
        <v>46236.598567395835</v>
      </c>
      <c r="B597" s="36">
        <v>45846.0</v>
      </c>
      <c r="C597" s="33" t="s">
        <v>50</v>
      </c>
      <c r="D597" s="29" t="s">
        <v>51</v>
      </c>
      <c r="E597" s="38"/>
      <c r="F597" s="29">
        <v>9.71522263798E11</v>
      </c>
      <c r="G597" s="38"/>
      <c r="H597" s="33" t="s">
        <v>1038</v>
      </c>
      <c r="I597" s="33">
        <v>1500.0</v>
      </c>
    </row>
    <row r="598" ht="22.5" hidden="1" customHeight="1">
      <c r="A598" s="35">
        <v>46236.59906925926</v>
      </c>
      <c r="B598" s="36">
        <v>45846.0</v>
      </c>
      <c r="C598" s="33" t="s">
        <v>53</v>
      </c>
      <c r="D598" s="33" t="s">
        <v>450</v>
      </c>
      <c r="E598" s="38"/>
      <c r="F598" s="33" t="s">
        <v>1039</v>
      </c>
      <c r="G598" s="38"/>
      <c r="H598" s="33" t="s">
        <v>1040</v>
      </c>
      <c r="I598" s="33">
        <v>2000.0</v>
      </c>
    </row>
    <row r="599" ht="22.5" hidden="1" customHeight="1">
      <c r="A599" s="35">
        <v>46236.599528645835</v>
      </c>
      <c r="B599" s="36">
        <v>45846.0</v>
      </c>
      <c r="C599" s="33" t="s">
        <v>53</v>
      </c>
      <c r="D599" s="33" t="s">
        <v>450</v>
      </c>
      <c r="E599" s="38"/>
      <c r="F599" s="33" t="s">
        <v>1039</v>
      </c>
      <c r="G599" s="38"/>
      <c r="H599" s="33" t="s">
        <v>1041</v>
      </c>
      <c r="I599" s="33">
        <v>500.0</v>
      </c>
    </row>
    <row r="600" ht="22.5" hidden="1" customHeight="1">
      <c r="A600" s="35">
        <v>46236.60008350694</v>
      </c>
      <c r="B600" s="36">
        <v>45847.0</v>
      </c>
      <c r="C600" s="33" t="s">
        <v>53</v>
      </c>
      <c r="D600" s="33" t="s">
        <v>1042</v>
      </c>
      <c r="E600" s="38"/>
      <c r="F600" s="33">
        <v>9.745759562E9</v>
      </c>
      <c r="G600" s="38"/>
      <c r="H600" s="33" t="s">
        <v>1043</v>
      </c>
      <c r="I600" s="33">
        <v>20000.0</v>
      </c>
    </row>
    <row r="601" ht="22.5" hidden="1" customHeight="1">
      <c r="A601" s="35">
        <v>46236.60049873842</v>
      </c>
      <c r="B601" s="36">
        <v>45847.0</v>
      </c>
      <c r="C601" s="33" t="s">
        <v>53</v>
      </c>
      <c r="D601" s="33" t="s">
        <v>727</v>
      </c>
      <c r="E601" s="38"/>
      <c r="F601" s="33">
        <v>9.94663296E9</v>
      </c>
      <c r="G601" s="38"/>
      <c r="H601" s="33" t="s">
        <v>1044</v>
      </c>
      <c r="I601" s="33">
        <v>2000.0</v>
      </c>
    </row>
    <row r="602" ht="22.5" hidden="1" customHeight="1">
      <c r="A602" s="35">
        <v>46236.601198460645</v>
      </c>
      <c r="B602" s="36">
        <v>45847.0</v>
      </c>
      <c r="C602" s="33" t="s">
        <v>53</v>
      </c>
      <c r="D602" s="33" t="s">
        <v>1045</v>
      </c>
      <c r="E602" s="38"/>
      <c r="F602" s="33">
        <v>8.086630689E9</v>
      </c>
      <c r="G602" s="38"/>
      <c r="H602" s="33" t="s">
        <v>1046</v>
      </c>
      <c r="I602" s="33">
        <v>500.0</v>
      </c>
    </row>
    <row r="603" ht="22.5" hidden="1" customHeight="1">
      <c r="A603" s="35">
        <v>46236.60192444445</v>
      </c>
      <c r="B603" s="36">
        <v>45847.0</v>
      </c>
      <c r="C603" s="33" t="s">
        <v>53</v>
      </c>
      <c r="D603" s="33" t="s">
        <v>1025</v>
      </c>
      <c r="E603" s="38"/>
      <c r="F603" s="33">
        <v>9.94663296E9</v>
      </c>
      <c r="G603" s="38"/>
      <c r="H603" s="33" t="s">
        <v>1047</v>
      </c>
      <c r="I603" s="33">
        <v>2000.0</v>
      </c>
    </row>
    <row r="604" ht="22.5" hidden="1" customHeight="1">
      <c r="A604" s="35">
        <v>46236.60256241898</v>
      </c>
      <c r="B604" s="36">
        <v>45848.0</v>
      </c>
      <c r="C604" s="33" t="s">
        <v>50</v>
      </c>
      <c r="D604" s="33" t="s">
        <v>1048</v>
      </c>
      <c r="E604" s="38"/>
      <c r="F604" s="33">
        <v>8.086153251E9</v>
      </c>
      <c r="G604" s="38"/>
      <c r="H604" s="33" t="s">
        <v>1049</v>
      </c>
      <c r="I604" s="33">
        <v>7500.0</v>
      </c>
    </row>
    <row r="605" ht="22.5" hidden="1" customHeight="1">
      <c r="A605" s="35">
        <v>46236.603139722225</v>
      </c>
      <c r="B605" s="36">
        <v>45851.0</v>
      </c>
      <c r="C605" s="33" t="s">
        <v>64</v>
      </c>
      <c r="D605" s="33" t="s">
        <v>1050</v>
      </c>
      <c r="E605" s="38"/>
      <c r="F605" s="33">
        <v>9.447448587E9</v>
      </c>
      <c r="G605" s="33">
        <v>9.048833152E9</v>
      </c>
      <c r="H605" s="33" t="s">
        <v>1051</v>
      </c>
      <c r="I605" s="33">
        <v>5000.0</v>
      </c>
    </row>
    <row r="606" ht="22.5" hidden="1" customHeight="1">
      <c r="A606" s="35">
        <v>46236.60373084491</v>
      </c>
      <c r="B606" s="36">
        <v>45851.0</v>
      </c>
      <c r="C606" s="33" t="s">
        <v>50</v>
      </c>
      <c r="D606" s="33" t="s">
        <v>1052</v>
      </c>
      <c r="E606" s="33" t="s">
        <v>277</v>
      </c>
      <c r="F606" s="33">
        <v>9.947477688E9</v>
      </c>
      <c r="G606" s="38"/>
      <c r="H606" s="33" t="s">
        <v>1053</v>
      </c>
      <c r="I606" s="33">
        <v>500.0</v>
      </c>
    </row>
    <row r="607" ht="22.5" hidden="1" customHeight="1">
      <c r="A607" s="35">
        <v>46236.604447777776</v>
      </c>
      <c r="B607" s="36">
        <v>45851.0</v>
      </c>
      <c r="C607" s="33" t="s">
        <v>50</v>
      </c>
      <c r="D607" s="33" t="s">
        <v>1054</v>
      </c>
      <c r="E607" s="33" t="s">
        <v>277</v>
      </c>
      <c r="F607" s="33">
        <v>9.495745921E9</v>
      </c>
      <c r="G607" s="38"/>
      <c r="H607" s="33" t="s">
        <v>1055</v>
      </c>
      <c r="I607" s="33">
        <v>500.0</v>
      </c>
    </row>
    <row r="608" ht="22.5" hidden="1" customHeight="1">
      <c r="A608" s="35">
        <v>46236.62635090278</v>
      </c>
      <c r="B608" s="36">
        <v>45842.0</v>
      </c>
      <c r="C608" s="33" t="s">
        <v>64</v>
      </c>
      <c r="D608" s="33" t="s">
        <v>1056</v>
      </c>
      <c r="E608" s="38"/>
      <c r="F608" s="33">
        <v>9.746053278E9</v>
      </c>
      <c r="G608" s="38"/>
      <c r="H608" s="33" t="s">
        <v>1034</v>
      </c>
      <c r="I608" s="33">
        <v>30000.0</v>
      </c>
    </row>
    <row r="609" ht="22.5" hidden="1" customHeight="1">
      <c r="A609" s="35">
        <v>46236.62990947917</v>
      </c>
      <c r="B609" s="36">
        <v>45852.0</v>
      </c>
      <c r="C609" s="33" t="s">
        <v>64</v>
      </c>
      <c r="D609" s="33" t="s">
        <v>1057</v>
      </c>
      <c r="E609" s="33" t="s">
        <v>301</v>
      </c>
      <c r="F609" s="33">
        <v>9.886435575E9</v>
      </c>
      <c r="G609" s="38"/>
      <c r="H609" s="33" t="s">
        <v>1058</v>
      </c>
      <c r="I609" s="33">
        <v>6000.0</v>
      </c>
    </row>
    <row r="610" ht="22.5" hidden="1" customHeight="1">
      <c r="A610" s="35">
        <v>46236.63025130787</v>
      </c>
      <c r="B610" s="36">
        <v>45852.0</v>
      </c>
      <c r="C610" s="33" t="s">
        <v>64</v>
      </c>
      <c r="D610" s="33" t="s">
        <v>1059</v>
      </c>
      <c r="E610" s="33" t="s">
        <v>301</v>
      </c>
      <c r="F610" s="33">
        <v>9.886550894E9</v>
      </c>
      <c r="G610" s="38"/>
      <c r="H610" s="33" t="s">
        <v>1058</v>
      </c>
      <c r="I610" s="33">
        <v>6000.0</v>
      </c>
    </row>
    <row r="611" ht="22.5" hidden="1" customHeight="1">
      <c r="A611" s="35">
        <v>46236.63129510416</v>
      </c>
      <c r="B611" s="36">
        <v>45852.0</v>
      </c>
      <c r="C611" s="33" t="s">
        <v>64</v>
      </c>
      <c r="D611" s="33" t="s">
        <v>1060</v>
      </c>
      <c r="E611" s="33" t="s">
        <v>301</v>
      </c>
      <c r="F611" s="33">
        <v>9.886435575E9</v>
      </c>
      <c r="G611" s="38"/>
      <c r="H611" s="33" t="s">
        <v>1061</v>
      </c>
      <c r="I611" s="33">
        <v>3000.0</v>
      </c>
    </row>
    <row r="612" ht="22.5" hidden="1" customHeight="1">
      <c r="A612" s="35">
        <v>46236.631710671296</v>
      </c>
      <c r="B612" s="36">
        <v>45852.0</v>
      </c>
      <c r="C612" s="33" t="s">
        <v>64</v>
      </c>
      <c r="D612" s="33" t="s">
        <v>189</v>
      </c>
      <c r="E612" s="33" t="s">
        <v>301</v>
      </c>
      <c r="F612" s="33">
        <v>9.886550894E9</v>
      </c>
      <c r="G612" s="38"/>
      <c r="H612" s="33" t="s">
        <v>1061</v>
      </c>
      <c r="I612" s="33">
        <v>3000.0</v>
      </c>
    </row>
    <row r="613" ht="22.5" hidden="1" customHeight="1">
      <c r="A613" s="35">
        <v>46236.63981717592</v>
      </c>
      <c r="B613" s="36">
        <v>45852.0</v>
      </c>
      <c r="C613" s="33" t="s">
        <v>53</v>
      </c>
      <c r="D613" s="33" t="s">
        <v>1062</v>
      </c>
      <c r="E613" s="33" t="s">
        <v>277</v>
      </c>
      <c r="F613" s="33">
        <v>9.933222837E9</v>
      </c>
      <c r="G613" s="38"/>
      <c r="H613" s="33" t="s">
        <v>1063</v>
      </c>
      <c r="I613" s="33">
        <v>500.0</v>
      </c>
    </row>
    <row r="614" ht="22.5" hidden="1" customHeight="1">
      <c r="A614" s="35">
        <v>46236.64022608796</v>
      </c>
      <c r="B614" s="36">
        <v>45852.0</v>
      </c>
      <c r="C614" s="33" t="s">
        <v>53</v>
      </c>
      <c r="D614" s="31" t="s">
        <v>204</v>
      </c>
      <c r="E614" s="38"/>
      <c r="F614" s="29">
        <v>9.7430216158E10</v>
      </c>
      <c r="G614" s="38"/>
      <c r="H614" s="33" t="s">
        <v>1064</v>
      </c>
      <c r="I614" s="33">
        <v>2000.0</v>
      </c>
    </row>
    <row r="615" ht="22.5" hidden="1" customHeight="1">
      <c r="A615" s="35">
        <v>46236.640872407406</v>
      </c>
      <c r="B615" s="36">
        <v>45854.0</v>
      </c>
      <c r="C615" s="33" t="s">
        <v>64</v>
      </c>
      <c r="D615" s="33" t="s">
        <v>1065</v>
      </c>
      <c r="E615" s="38"/>
      <c r="F615" s="33">
        <v>7.356131921E9</v>
      </c>
      <c r="G615" s="38"/>
      <c r="H615" s="33" t="s">
        <v>1066</v>
      </c>
      <c r="I615" s="33">
        <v>30000.0</v>
      </c>
    </row>
    <row r="616" ht="22.5" hidden="1" customHeight="1">
      <c r="A616" s="35">
        <v>46236.64169413195</v>
      </c>
      <c r="B616" s="36">
        <v>45854.0</v>
      </c>
      <c r="C616" s="33" t="s">
        <v>50</v>
      </c>
      <c r="D616" s="33" t="s">
        <v>1067</v>
      </c>
      <c r="E616" s="33" t="s">
        <v>277</v>
      </c>
      <c r="F616" s="33">
        <v>9.02584816E9</v>
      </c>
      <c r="G616" s="38"/>
      <c r="H616" s="33" t="s">
        <v>1068</v>
      </c>
      <c r="I616" s="33">
        <v>1000.0</v>
      </c>
    </row>
    <row r="617" ht="22.5" hidden="1" customHeight="1">
      <c r="A617" s="35">
        <v>46236.64227653935</v>
      </c>
      <c r="B617" s="36">
        <v>45854.0</v>
      </c>
      <c r="C617" s="33" t="s">
        <v>50</v>
      </c>
      <c r="D617" s="33" t="s">
        <v>1069</v>
      </c>
      <c r="E617" s="33" t="s">
        <v>277</v>
      </c>
      <c r="F617" s="33">
        <v>9.947420084E9</v>
      </c>
      <c r="G617" s="38"/>
      <c r="H617" s="33" t="s">
        <v>1070</v>
      </c>
      <c r="I617" s="33">
        <v>500.0</v>
      </c>
    </row>
    <row r="618" ht="22.5" hidden="1" customHeight="1">
      <c r="A618" s="35">
        <v>46236.64361121527</v>
      </c>
      <c r="B618" s="36">
        <v>45855.0</v>
      </c>
      <c r="C618" s="33" t="s">
        <v>64</v>
      </c>
      <c r="D618" s="33" t="s">
        <v>1071</v>
      </c>
      <c r="E618" s="33" t="s">
        <v>981</v>
      </c>
      <c r="F618" s="33">
        <v>6.89586342E9</v>
      </c>
      <c r="G618" s="38"/>
      <c r="H618" s="33" t="s">
        <v>1072</v>
      </c>
      <c r="I618" s="33">
        <v>5000.0</v>
      </c>
    </row>
    <row r="619" ht="22.5" hidden="1" customHeight="1">
      <c r="A619" s="35">
        <v>46236.644253923616</v>
      </c>
      <c r="B619" s="53">
        <v>45856.0</v>
      </c>
      <c r="C619" s="54" t="s">
        <v>53</v>
      </c>
      <c r="D619" s="54" t="s">
        <v>1073</v>
      </c>
      <c r="E619" s="55"/>
      <c r="F619" s="54">
        <v>9.71558785313E11</v>
      </c>
      <c r="G619" s="55"/>
      <c r="H619" s="54" t="s">
        <v>1074</v>
      </c>
      <c r="I619" s="54">
        <v>5000.0</v>
      </c>
    </row>
    <row r="620" ht="22.5" hidden="1" customHeight="1">
      <c r="A620" s="35">
        <v>46236.645450625</v>
      </c>
      <c r="B620" s="56">
        <v>45860.0</v>
      </c>
      <c r="C620" s="57" t="s">
        <v>50</v>
      </c>
      <c r="D620" s="57" t="s">
        <v>1075</v>
      </c>
      <c r="E620" s="57" t="s">
        <v>277</v>
      </c>
      <c r="F620" s="57">
        <v>8.714510314E9</v>
      </c>
      <c r="G620" s="58"/>
      <c r="H620" s="57" t="s">
        <v>1076</v>
      </c>
      <c r="I620" s="57">
        <v>500.0</v>
      </c>
    </row>
    <row r="621" ht="22.5" hidden="1" customHeight="1">
      <c r="A621" s="26"/>
      <c r="B621" s="59">
        <v>46087.0</v>
      </c>
      <c r="C621" s="60" t="s">
        <v>1077</v>
      </c>
      <c r="D621" s="61" t="s">
        <v>1078</v>
      </c>
      <c r="E621" s="60" t="s">
        <v>1077</v>
      </c>
      <c r="F621" s="62">
        <v>9.17510816306E11</v>
      </c>
      <c r="G621" s="63"/>
      <c r="H621" s="60"/>
      <c r="I621" s="62">
        <v>2500.0</v>
      </c>
    </row>
    <row r="622" ht="22.5" hidden="1" customHeight="1">
      <c r="A622" s="26"/>
      <c r="B622" s="59">
        <v>46087.0</v>
      </c>
      <c r="C622" s="60" t="s">
        <v>1077</v>
      </c>
      <c r="D622" s="61" t="s">
        <v>1078</v>
      </c>
      <c r="E622" s="60" t="s">
        <v>1077</v>
      </c>
      <c r="F622" s="62">
        <v>9.17510816306E11</v>
      </c>
      <c r="G622" s="63"/>
      <c r="H622" s="60"/>
      <c r="I622" s="62">
        <v>2500.0</v>
      </c>
    </row>
    <row r="623" ht="22.5" hidden="1" customHeight="1">
      <c r="A623" s="26"/>
      <c r="B623" s="59">
        <v>46066.0</v>
      </c>
      <c r="C623" s="60" t="s">
        <v>1077</v>
      </c>
      <c r="D623" s="61" t="s">
        <v>1078</v>
      </c>
      <c r="E623" s="60" t="s">
        <v>1077</v>
      </c>
      <c r="F623" s="62">
        <v>9.17510816306E11</v>
      </c>
      <c r="G623" s="63"/>
      <c r="H623" s="60"/>
      <c r="I623" s="62">
        <v>2500.0</v>
      </c>
    </row>
    <row r="624" ht="22.5" hidden="1" customHeight="1">
      <c r="A624" s="26"/>
      <c r="B624" s="59">
        <v>46066.0</v>
      </c>
      <c r="C624" s="60" t="s">
        <v>1077</v>
      </c>
      <c r="D624" s="61" t="s">
        <v>1078</v>
      </c>
      <c r="E624" s="60" t="s">
        <v>1077</v>
      </c>
      <c r="F624" s="62">
        <v>9.17510816306E11</v>
      </c>
      <c r="G624" s="63"/>
      <c r="H624" s="60"/>
      <c r="I624" s="62">
        <v>2500.0</v>
      </c>
    </row>
    <row r="625" ht="22.5" hidden="1" customHeight="1">
      <c r="A625" s="26"/>
      <c r="B625" s="59">
        <v>46024.0</v>
      </c>
      <c r="C625" s="60" t="s">
        <v>1077</v>
      </c>
      <c r="D625" s="61" t="s">
        <v>1078</v>
      </c>
      <c r="E625" s="60" t="s">
        <v>1077</v>
      </c>
      <c r="F625" s="62">
        <v>9.17510816306E11</v>
      </c>
      <c r="G625" s="63"/>
      <c r="H625" s="60"/>
      <c r="I625" s="62">
        <v>2500.0</v>
      </c>
    </row>
    <row r="626" ht="22.5" hidden="1" customHeight="1">
      <c r="A626" s="26"/>
      <c r="B626" s="59">
        <v>46024.0</v>
      </c>
      <c r="C626" s="60" t="s">
        <v>1077</v>
      </c>
      <c r="D626" s="61" t="s">
        <v>1078</v>
      </c>
      <c r="E626" s="60" t="s">
        <v>1077</v>
      </c>
      <c r="F626" s="62">
        <v>9.17510816306E11</v>
      </c>
      <c r="G626" s="63"/>
      <c r="H626" s="60"/>
      <c r="I626" s="62">
        <v>2500.0</v>
      </c>
    </row>
    <row r="627" ht="22.5" hidden="1" customHeight="1">
      <c r="A627" s="26"/>
      <c r="B627" s="59">
        <v>45996.0</v>
      </c>
      <c r="C627" s="60" t="s">
        <v>1077</v>
      </c>
      <c r="D627" s="61" t="s">
        <v>1078</v>
      </c>
      <c r="E627" s="60" t="s">
        <v>1077</v>
      </c>
      <c r="F627" s="62">
        <v>9.17510816306E11</v>
      </c>
      <c r="G627" s="63"/>
      <c r="H627" s="60"/>
      <c r="I627" s="62">
        <v>2500.0</v>
      </c>
    </row>
    <row r="628" ht="22.5" hidden="1" customHeight="1">
      <c r="A628" s="26"/>
      <c r="B628" s="59">
        <v>45996.0</v>
      </c>
      <c r="C628" s="60" t="s">
        <v>1077</v>
      </c>
      <c r="D628" s="61" t="s">
        <v>1078</v>
      </c>
      <c r="E628" s="60" t="s">
        <v>1077</v>
      </c>
      <c r="F628" s="62">
        <v>9.17510816306E11</v>
      </c>
      <c r="G628" s="63"/>
      <c r="H628" s="60"/>
      <c r="I628" s="62">
        <v>2500.0</v>
      </c>
    </row>
    <row r="629" ht="22.5" hidden="1" customHeight="1">
      <c r="A629" s="26"/>
      <c r="B629" s="59">
        <v>46096.0</v>
      </c>
      <c r="C629" s="60" t="s">
        <v>1077</v>
      </c>
      <c r="D629" s="61" t="s">
        <v>1079</v>
      </c>
      <c r="E629" s="60" t="s">
        <v>1077</v>
      </c>
      <c r="F629" s="62">
        <v>9.17902243648E11</v>
      </c>
      <c r="G629" s="63"/>
      <c r="H629" s="60"/>
      <c r="I629" s="62">
        <v>30000.0</v>
      </c>
    </row>
    <row r="630" ht="22.5" hidden="1" customHeight="1">
      <c r="A630" s="26"/>
      <c r="B630" s="59">
        <v>46099.0</v>
      </c>
      <c r="C630" s="60" t="s">
        <v>1077</v>
      </c>
      <c r="D630" s="61" t="s">
        <v>1080</v>
      </c>
      <c r="E630" s="60" t="s">
        <v>1077</v>
      </c>
      <c r="F630" s="62">
        <v>9.18086949216E11</v>
      </c>
      <c r="G630" s="63"/>
      <c r="H630" s="60"/>
      <c r="I630" s="62">
        <v>30000.0</v>
      </c>
    </row>
    <row r="631" ht="22.5" hidden="1" customHeight="1">
      <c r="A631" s="26"/>
      <c r="B631" s="59">
        <v>45814.0</v>
      </c>
      <c r="C631" s="60" t="s">
        <v>1077</v>
      </c>
      <c r="D631" s="61" t="s">
        <v>1081</v>
      </c>
      <c r="E631" s="60" t="s">
        <v>1077</v>
      </c>
      <c r="F631" s="62">
        <v>9.18086949216E11</v>
      </c>
      <c r="G631" s="63"/>
      <c r="H631" s="60"/>
      <c r="I631" s="62">
        <v>30000.0</v>
      </c>
    </row>
    <row r="632" ht="22.5" hidden="1" customHeight="1">
      <c r="A632" s="26"/>
      <c r="B632" s="59">
        <v>46008.0</v>
      </c>
      <c r="C632" s="60" t="s">
        <v>1077</v>
      </c>
      <c r="D632" s="61" t="s">
        <v>1082</v>
      </c>
      <c r="E632" s="60" t="s">
        <v>1077</v>
      </c>
      <c r="F632" s="62">
        <v>9.18089191939E11</v>
      </c>
      <c r="G632" s="63"/>
      <c r="H632" s="60"/>
      <c r="I632" s="62">
        <v>2500.0</v>
      </c>
    </row>
    <row r="633" ht="22.5" hidden="1" customHeight="1">
      <c r="A633" s="26"/>
      <c r="B633" s="59">
        <v>45787.0</v>
      </c>
      <c r="C633" s="60" t="s">
        <v>1077</v>
      </c>
      <c r="D633" s="61" t="s">
        <v>1083</v>
      </c>
      <c r="E633" s="60" t="s">
        <v>1077</v>
      </c>
      <c r="F633" s="62">
        <v>9.19048938373E11</v>
      </c>
      <c r="G633" s="63"/>
      <c r="H633" s="60"/>
      <c r="I633" s="62">
        <v>2500.0</v>
      </c>
    </row>
    <row r="634" ht="22.5" hidden="1" customHeight="1">
      <c r="A634" s="26"/>
      <c r="B634" s="59">
        <v>45787.0</v>
      </c>
      <c r="C634" s="60" t="s">
        <v>1077</v>
      </c>
      <c r="D634" s="61" t="s">
        <v>1084</v>
      </c>
      <c r="E634" s="60" t="s">
        <v>1077</v>
      </c>
      <c r="F634" s="62">
        <v>9.19048938373E11</v>
      </c>
      <c r="G634" s="63"/>
      <c r="H634" s="60"/>
      <c r="I634" s="62">
        <v>2500.0</v>
      </c>
    </row>
    <row r="635" ht="22.5" hidden="1" customHeight="1">
      <c r="A635" s="26"/>
      <c r="B635" s="59">
        <v>46034.0</v>
      </c>
      <c r="C635" s="60" t="s">
        <v>1077</v>
      </c>
      <c r="D635" s="61" t="s">
        <v>1085</v>
      </c>
      <c r="E635" s="60" t="s">
        <v>1077</v>
      </c>
      <c r="F635" s="62">
        <v>9.1907275797E11</v>
      </c>
      <c r="G635" s="63"/>
      <c r="H635" s="60"/>
      <c r="I635" s="62">
        <v>2500.0</v>
      </c>
    </row>
    <row r="636" ht="22.5" hidden="1" customHeight="1">
      <c r="A636" s="26"/>
      <c r="B636" s="59">
        <v>45999.0</v>
      </c>
      <c r="C636" s="60" t="s">
        <v>1077</v>
      </c>
      <c r="D636" s="61" t="s">
        <v>1085</v>
      </c>
      <c r="E636" s="60" t="s">
        <v>1077</v>
      </c>
      <c r="F636" s="62">
        <v>9.1907275797E11</v>
      </c>
      <c r="G636" s="63"/>
      <c r="H636" s="60"/>
      <c r="I636" s="62">
        <v>2500.0</v>
      </c>
    </row>
    <row r="637" ht="22.5" hidden="1" customHeight="1">
      <c r="A637" s="26"/>
      <c r="B637" s="59">
        <v>45978.0</v>
      </c>
      <c r="C637" s="60" t="s">
        <v>1077</v>
      </c>
      <c r="D637" s="61" t="s">
        <v>1085</v>
      </c>
      <c r="E637" s="60" t="s">
        <v>1077</v>
      </c>
      <c r="F637" s="62">
        <v>9.1907275797E11</v>
      </c>
      <c r="G637" s="63"/>
      <c r="H637" s="60"/>
      <c r="I637" s="62">
        <v>2500.0</v>
      </c>
    </row>
    <row r="638" ht="22.5" hidden="1" customHeight="1">
      <c r="A638" s="26"/>
      <c r="B638" s="59">
        <v>45884.0</v>
      </c>
      <c r="C638" s="60" t="s">
        <v>1077</v>
      </c>
      <c r="D638" s="61" t="s">
        <v>1086</v>
      </c>
      <c r="E638" s="60" t="s">
        <v>1077</v>
      </c>
      <c r="F638" s="62">
        <v>9.19447924934E11</v>
      </c>
      <c r="G638" s="63"/>
      <c r="H638" s="60"/>
      <c r="I638" s="62">
        <v>2500.0</v>
      </c>
    </row>
    <row r="639" ht="22.5" hidden="1" customHeight="1">
      <c r="A639" s="26"/>
      <c r="B639" s="59">
        <v>46096.0</v>
      </c>
      <c r="C639" s="60" t="s">
        <v>1077</v>
      </c>
      <c r="D639" s="61" t="s">
        <v>1087</v>
      </c>
      <c r="E639" s="60" t="s">
        <v>1077</v>
      </c>
      <c r="F639" s="62">
        <v>9.1960509442E11</v>
      </c>
      <c r="G639" s="63"/>
      <c r="H639" s="60"/>
      <c r="I639" s="62">
        <v>2500.0</v>
      </c>
    </row>
    <row r="640" ht="22.5" hidden="1" customHeight="1">
      <c r="A640" s="26"/>
      <c r="B640" s="59">
        <v>46080.0</v>
      </c>
      <c r="C640" s="60" t="s">
        <v>1077</v>
      </c>
      <c r="D640" s="61" t="s">
        <v>1087</v>
      </c>
      <c r="E640" s="60" t="s">
        <v>1077</v>
      </c>
      <c r="F640" s="62">
        <v>9.1960509442E11</v>
      </c>
      <c r="G640" s="63"/>
      <c r="H640" s="60"/>
      <c r="I640" s="62">
        <v>2500.0</v>
      </c>
    </row>
    <row r="641" ht="22.5" hidden="1" customHeight="1">
      <c r="A641" s="26"/>
      <c r="B641" s="59">
        <v>46047.0</v>
      </c>
      <c r="C641" s="60" t="s">
        <v>1077</v>
      </c>
      <c r="D641" s="61" t="s">
        <v>1087</v>
      </c>
      <c r="E641" s="60" t="s">
        <v>1077</v>
      </c>
      <c r="F641" s="62">
        <v>9.1960509442E11</v>
      </c>
      <c r="G641" s="63"/>
      <c r="H641" s="60"/>
      <c r="I641" s="62">
        <v>2500.0</v>
      </c>
    </row>
    <row r="642" ht="22.5" hidden="1" customHeight="1">
      <c r="A642" s="26"/>
      <c r="B642" s="59">
        <v>46017.0</v>
      </c>
      <c r="C642" s="60" t="s">
        <v>1077</v>
      </c>
      <c r="D642" s="61" t="s">
        <v>1087</v>
      </c>
      <c r="E642" s="60" t="s">
        <v>1077</v>
      </c>
      <c r="F642" s="62">
        <v>9.1960509442E11</v>
      </c>
      <c r="G642" s="63"/>
      <c r="H642" s="60"/>
      <c r="I642" s="62">
        <v>2500.0</v>
      </c>
    </row>
    <row r="643" ht="22.5" hidden="1" customHeight="1">
      <c r="A643" s="26"/>
      <c r="B643" s="59">
        <v>45986.0</v>
      </c>
      <c r="C643" s="60" t="s">
        <v>1077</v>
      </c>
      <c r="D643" s="61" t="s">
        <v>1087</v>
      </c>
      <c r="E643" s="60" t="s">
        <v>1077</v>
      </c>
      <c r="F643" s="62">
        <v>9.1960509442E11</v>
      </c>
      <c r="G643" s="63"/>
      <c r="H643" s="60"/>
      <c r="I643" s="62">
        <v>2500.0</v>
      </c>
    </row>
    <row r="644" ht="22.5" hidden="1" customHeight="1">
      <c r="A644" s="26"/>
      <c r="B644" s="59">
        <v>45969.0</v>
      </c>
      <c r="C644" s="60" t="s">
        <v>1077</v>
      </c>
      <c r="D644" s="61" t="s">
        <v>1087</v>
      </c>
      <c r="E644" s="60" t="s">
        <v>1077</v>
      </c>
      <c r="F644" s="62">
        <v>9.1960509442E11</v>
      </c>
      <c r="G644" s="63"/>
      <c r="H644" s="60"/>
      <c r="I644" s="62">
        <v>2500.0</v>
      </c>
    </row>
    <row r="645" ht="22.5" hidden="1" customHeight="1">
      <c r="A645" s="26"/>
      <c r="B645" s="59">
        <v>45957.0</v>
      </c>
      <c r="C645" s="60" t="s">
        <v>1077</v>
      </c>
      <c r="D645" s="61" t="s">
        <v>1087</v>
      </c>
      <c r="E645" s="60" t="s">
        <v>1077</v>
      </c>
      <c r="F645" s="62">
        <v>9.1960509442E11</v>
      </c>
      <c r="G645" s="63"/>
      <c r="H645" s="60"/>
      <c r="I645" s="62">
        <v>2500.0</v>
      </c>
    </row>
    <row r="646" ht="22.5" hidden="1" customHeight="1">
      <c r="A646" s="26"/>
      <c r="B646" s="59">
        <v>45957.0</v>
      </c>
      <c r="C646" s="60" t="s">
        <v>1077</v>
      </c>
      <c r="D646" s="61" t="s">
        <v>1087</v>
      </c>
      <c r="E646" s="60" t="s">
        <v>1077</v>
      </c>
      <c r="F646" s="62">
        <v>9.1960509442E11</v>
      </c>
      <c r="G646" s="63"/>
      <c r="H646" s="60"/>
      <c r="I646" s="62">
        <v>2500.0</v>
      </c>
    </row>
    <row r="647" ht="22.5" hidden="1" customHeight="1">
      <c r="A647" s="26"/>
      <c r="B647" s="59">
        <v>45896.0</v>
      </c>
      <c r="C647" s="60" t="s">
        <v>1077</v>
      </c>
      <c r="D647" s="61" t="s">
        <v>1087</v>
      </c>
      <c r="E647" s="60" t="s">
        <v>1077</v>
      </c>
      <c r="F647" s="62">
        <v>9.1960509442E11</v>
      </c>
      <c r="G647" s="63"/>
      <c r="H647" s="60"/>
      <c r="I647" s="62">
        <v>2500.0</v>
      </c>
    </row>
    <row r="648" ht="22.5" hidden="1" customHeight="1">
      <c r="A648" s="26"/>
      <c r="B648" s="59">
        <v>45867.0</v>
      </c>
      <c r="C648" s="60" t="s">
        <v>1077</v>
      </c>
      <c r="D648" s="61" t="s">
        <v>1087</v>
      </c>
      <c r="E648" s="60" t="s">
        <v>1077</v>
      </c>
      <c r="F648" s="62">
        <v>9.1960509442E11</v>
      </c>
      <c r="G648" s="63"/>
      <c r="H648" s="60"/>
      <c r="I648" s="62">
        <v>2500.0</v>
      </c>
    </row>
    <row r="649" ht="22.5" hidden="1" customHeight="1">
      <c r="A649" s="26"/>
      <c r="B649" s="59">
        <v>45783.0</v>
      </c>
      <c r="C649" s="60" t="s">
        <v>1077</v>
      </c>
      <c r="D649" s="61" t="s">
        <v>1088</v>
      </c>
      <c r="E649" s="60" t="s">
        <v>1077</v>
      </c>
      <c r="F649" s="62">
        <v>9.1960509442E11</v>
      </c>
      <c r="G649" s="63"/>
      <c r="H649" s="60"/>
      <c r="I649" s="62">
        <v>2500.0</v>
      </c>
    </row>
    <row r="650" ht="22.5" hidden="1" customHeight="1">
      <c r="A650" s="26"/>
      <c r="B650" s="59">
        <v>46099.0</v>
      </c>
      <c r="C650" s="60" t="s">
        <v>1077</v>
      </c>
      <c r="D650" s="61" t="s">
        <v>1089</v>
      </c>
      <c r="E650" s="60" t="s">
        <v>1077</v>
      </c>
      <c r="F650" s="62">
        <v>9.1963313078E11</v>
      </c>
      <c r="G650" s="63"/>
      <c r="H650" s="60"/>
      <c r="I650" s="62">
        <v>2500.0</v>
      </c>
    </row>
    <row r="651" ht="22.5" hidden="1" customHeight="1">
      <c r="A651" s="26"/>
      <c r="B651" s="59">
        <v>46097.0</v>
      </c>
      <c r="C651" s="60" t="s">
        <v>1077</v>
      </c>
      <c r="D651" s="61" t="s">
        <v>1089</v>
      </c>
      <c r="E651" s="60" t="s">
        <v>1077</v>
      </c>
      <c r="F651" s="62">
        <v>9.1963313078E11</v>
      </c>
      <c r="G651" s="63"/>
      <c r="H651" s="60"/>
      <c r="I651" s="62">
        <v>2500.0</v>
      </c>
    </row>
    <row r="652" ht="22.5" hidden="1" customHeight="1">
      <c r="A652" s="26"/>
      <c r="B652" s="59">
        <v>45842.0</v>
      </c>
      <c r="C652" s="60" t="s">
        <v>1077</v>
      </c>
      <c r="D652" s="61" t="s">
        <v>1089</v>
      </c>
      <c r="E652" s="60" t="s">
        <v>1077</v>
      </c>
      <c r="F652" s="62">
        <v>9.1963313078E11</v>
      </c>
      <c r="G652" s="63"/>
      <c r="H652" s="60"/>
      <c r="I652" s="62">
        <v>2500.0</v>
      </c>
    </row>
    <row r="653" ht="22.5" hidden="1" customHeight="1">
      <c r="A653" s="26"/>
      <c r="B653" s="59">
        <v>45842.0</v>
      </c>
      <c r="C653" s="60" t="s">
        <v>1077</v>
      </c>
      <c r="D653" s="61" t="s">
        <v>1090</v>
      </c>
      <c r="E653" s="60" t="s">
        <v>1077</v>
      </c>
      <c r="F653" s="62">
        <v>9.1963313078E11</v>
      </c>
      <c r="G653" s="63"/>
      <c r="H653" s="60"/>
      <c r="I653" s="62">
        <v>2500.0</v>
      </c>
    </row>
    <row r="654" ht="22.5" hidden="1" customHeight="1">
      <c r="A654" s="26"/>
      <c r="B654" s="59">
        <v>45769.0</v>
      </c>
      <c r="C654" s="60" t="s">
        <v>1077</v>
      </c>
      <c r="D654" s="61" t="s">
        <v>1091</v>
      </c>
      <c r="E654" s="60" t="s">
        <v>1077</v>
      </c>
      <c r="F654" s="62">
        <v>9.19645034827E11</v>
      </c>
      <c r="G654" s="63"/>
      <c r="H654" s="60"/>
      <c r="I654" s="62">
        <v>30000.0</v>
      </c>
    </row>
    <row r="655" ht="22.5" hidden="1" customHeight="1">
      <c r="A655" s="26"/>
      <c r="B655" s="59">
        <v>45894.0</v>
      </c>
      <c r="C655" s="60" t="s">
        <v>1077</v>
      </c>
      <c r="D655" s="61" t="s">
        <v>1092</v>
      </c>
      <c r="E655" s="60" t="s">
        <v>1077</v>
      </c>
      <c r="F655" s="62">
        <v>9.1974642211E11</v>
      </c>
      <c r="G655" s="63"/>
      <c r="H655" s="60"/>
      <c r="I655" s="62">
        <v>2500.0</v>
      </c>
    </row>
    <row r="656" ht="22.5" hidden="1" customHeight="1">
      <c r="A656" s="26"/>
      <c r="B656" s="59">
        <v>45894.0</v>
      </c>
      <c r="C656" s="60" t="s">
        <v>1077</v>
      </c>
      <c r="D656" s="61" t="s">
        <v>1093</v>
      </c>
      <c r="E656" s="60" t="s">
        <v>1077</v>
      </c>
      <c r="F656" s="62">
        <v>9.1974642211E11</v>
      </c>
      <c r="G656" s="63"/>
      <c r="H656" s="60"/>
      <c r="I656" s="62">
        <v>2500.0</v>
      </c>
    </row>
    <row r="657" ht="22.5" hidden="1" customHeight="1">
      <c r="A657" s="26"/>
      <c r="B657" s="59">
        <v>46040.0</v>
      </c>
      <c r="C657" s="60" t="s">
        <v>1077</v>
      </c>
      <c r="D657" s="61" t="s">
        <v>1094</v>
      </c>
      <c r="E657" s="60" t="s">
        <v>1077</v>
      </c>
      <c r="F657" s="62">
        <v>9.1974704837E11</v>
      </c>
      <c r="G657" s="63"/>
      <c r="H657" s="60"/>
      <c r="I657" s="62">
        <v>2500.0</v>
      </c>
    </row>
    <row r="658" ht="22.5" hidden="1" customHeight="1">
      <c r="A658" s="26"/>
      <c r="B658" s="59">
        <v>45932.0</v>
      </c>
      <c r="C658" s="60" t="s">
        <v>1077</v>
      </c>
      <c r="D658" s="61" t="s">
        <v>1095</v>
      </c>
      <c r="E658" s="60" t="s">
        <v>1077</v>
      </c>
      <c r="F658" s="62">
        <v>9.19895491855E11</v>
      </c>
      <c r="G658" s="63"/>
      <c r="H658" s="60"/>
      <c r="I658" s="62">
        <v>2500.0</v>
      </c>
    </row>
    <row r="659" ht="22.5" hidden="1" customHeight="1">
      <c r="A659" s="26"/>
      <c r="B659" s="59">
        <v>45932.0</v>
      </c>
      <c r="C659" s="60" t="s">
        <v>1077</v>
      </c>
      <c r="D659" s="61" t="s">
        <v>1095</v>
      </c>
      <c r="E659" s="60" t="s">
        <v>1077</v>
      </c>
      <c r="F659" s="62">
        <v>9.19895491855E11</v>
      </c>
      <c r="G659" s="63"/>
      <c r="H659" s="60"/>
      <c r="I659" s="62">
        <v>2500.0</v>
      </c>
    </row>
    <row r="660" ht="22.5" hidden="1" customHeight="1">
      <c r="A660" s="26"/>
      <c r="B660" s="59">
        <v>45999.0</v>
      </c>
      <c r="C660" s="60" t="s">
        <v>1077</v>
      </c>
      <c r="D660" s="61" t="s">
        <v>1096</v>
      </c>
      <c r="E660" s="60" t="s">
        <v>1077</v>
      </c>
      <c r="F660" s="62">
        <v>9.19995373935E11</v>
      </c>
      <c r="G660" s="63"/>
      <c r="H660" s="60"/>
      <c r="I660" s="62">
        <v>15000.0</v>
      </c>
    </row>
    <row r="661" ht="22.5" hidden="1" customHeight="1">
      <c r="A661" s="26"/>
      <c r="B661" s="59">
        <v>45895.0</v>
      </c>
      <c r="C661" s="60" t="s">
        <v>1077</v>
      </c>
      <c r="D661" s="61" t="s">
        <v>1096</v>
      </c>
      <c r="E661" s="60" t="s">
        <v>1077</v>
      </c>
      <c r="F661" s="62">
        <v>9.19995373935E11</v>
      </c>
      <c r="G661" s="63"/>
      <c r="H661" s="60"/>
      <c r="I661" s="62">
        <v>2500.0</v>
      </c>
    </row>
    <row r="662" ht="22.5" hidden="1" customHeight="1">
      <c r="A662" s="35">
        <v>46236.665354745375</v>
      </c>
      <c r="B662" s="64">
        <v>45860.0</v>
      </c>
      <c r="C662" s="65" t="s">
        <v>53</v>
      </c>
      <c r="D662" s="65" t="s">
        <v>1097</v>
      </c>
      <c r="F662" s="65">
        <v>9.961529849E9</v>
      </c>
      <c r="H662" s="65" t="s">
        <v>1098</v>
      </c>
      <c r="I662" s="65">
        <v>20000.0</v>
      </c>
    </row>
    <row r="663" ht="22.5" hidden="1" customHeight="1">
      <c r="A663" s="35">
        <v>46236.66591077547</v>
      </c>
      <c r="B663" s="64">
        <v>45860.0</v>
      </c>
      <c r="C663" s="65" t="s">
        <v>53</v>
      </c>
      <c r="D663" s="65" t="s">
        <v>1099</v>
      </c>
      <c r="E663" s="65" t="s">
        <v>277</v>
      </c>
      <c r="F663" s="65">
        <v>7.204374952E9</v>
      </c>
      <c r="H663" s="65" t="s">
        <v>1100</v>
      </c>
      <c r="I663" s="65">
        <v>500.0</v>
      </c>
    </row>
    <row r="664" ht="22.5" hidden="1" customHeight="1">
      <c r="A664" s="35">
        <v>46236.666394837965</v>
      </c>
      <c r="B664" s="64">
        <v>45860.0</v>
      </c>
      <c r="C664" s="65" t="s">
        <v>53</v>
      </c>
      <c r="D664" s="65" t="s">
        <v>1101</v>
      </c>
      <c r="E664" s="65" t="s">
        <v>277</v>
      </c>
      <c r="F664" s="65">
        <v>9.946568998E9</v>
      </c>
      <c r="H664" s="65" t="s">
        <v>1102</v>
      </c>
      <c r="I664" s="65">
        <v>500.0</v>
      </c>
    </row>
    <row r="665" ht="22.5" hidden="1" customHeight="1">
      <c r="A665" s="35">
        <v>46236.667141909726</v>
      </c>
      <c r="B665" s="64">
        <v>45860.0</v>
      </c>
      <c r="C665" s="65" t="s">
        <v>53</v>
      </c>
      <c r="D665" s="65" t="s">
        <v>1103</v>
      </c>
      <c r="E665" s="65" t="s">
        <v>277</v>
      </c>
      <c r="F665" s="65">
        <v>9.645101454E9</v>
      </c>
      <c r="H665" s="65" t="s">
        <v>1104</v>
      </c>
      <c r="I665" s="65">
        <v>500.0</v>
      </c>
    </row>
    <row r="666" ht="22.5" hidden="1" customHeight="1">
      <c r="A666" s="35">
        <v>46236.66771365741</v>
      </c>
      <c r="B666" s="64">
        <v>45861.0</v>
      </c>
      <c r="C666" s="65" t="s">
        <v>50</v>
      </c>
      <c r="D666" s="65" t="s">
        <v>1105</v>
      </c>
      <c r="E666" s="65" t="s">
        <v>277</v>
      </c>
      <c r="F666" s="65">
        <v>9.495920363E9</v>
      </c>
      <c r="H666" s="65" t="s">
        <v>1106</v>
      </c>
      <c r="I666" s="65">
        <v>2000.0</v>
      </c>
    </row>
    <row r="667" ht="22.5" hidden="1" customHeight="1">
      <c r="A667" s="35">
        <v>46236.668216261576</v>
      </c>
      <c r="B667" s="64">
        <v>45861.0</v>
      </c>
      <c r="C667" s="65" t="s">
        <v>50</v>
      </c>
      <c r="D667" s="65" t="s">
        <v>1107</v>
      </c>
      <c r="E667" s="65" t="s">
        <v>277</v>
      </c>
      <c r="F667" s="65">
        <v>9.744162177E9</v>
      </c>
      <c r="H667" s="65" t="s">
        <v>1108</v>
      </c>
      <c r="I667" s="65">
        <v>500.0</v>
      </c>
    </row>
    <row r="668" ht="22.5" hidden="1" customHeight="1">
      <c r="A668" s="35">
        <v>46236.670106550926</v>
      </c>
      <c r="B668" s="64">
        <v>45861.0</v>
      </c>
      <c r="C668" s="65" t="s">
        <v>50</v>
      </c>
      <c r="D668" s="65" t="s">
        <v>1109</v>
      </c>
      <c r="E668" s="65" t="s">
        <v>277</v>
      </c>
      <c r="F668" s="65">
        <v>9.567968045E9</v>
      </c>
      <c r="H668" s="65" t="s">
        <v>1110</v>
      </c>
      <c r="I668" s="65">
        <v>500.0</v>
      </c>
    </row>
    <row r="669" ht="22.5" hidden="1" customHeight="1">
      <c r="A669" s="35">
        <v>46236.6706446875</v>
      </c>
      <c r="B669" s="64">
        <v>45861.0</v>
      </c>
      <c r="C669" s="65" t="s">
        <v>53</v>
      </c>
      <c r="D669" s="65" t="s">
        <v>1111</v>
      </c>
      <c r="E669" s="65" t="s">
        <v>277</v>
      </c>
      <c r="F669" s="65">
        <v>9.933270878E9</v>
      </c>
      <c r="H669" s="65" t="s">
        <v>1112</v>
      </c>
      <c r="I669" s="65">
        <v>500.0</v>
      </c>
    </row>
    <row r="670" ht="22.5" hidden="1" customHeight="1">
      <c r="A670" s="35">
        <v>46236.67318253472</v>
      </c>
      <c r="B670" s="64">
        <v>45861.0</v>
      </c>
      <c r="C670" s="65" t="s">
        <v>53</v>
      </c>
      <c r="D670" s="65" t="s">
        <v>1113</v>
      </c>
      <c r="E670" s="65" t="s">
        <v>277</v>
      </c>
      <c r="F670" s="65">
        <v>9.526182E9</v>
      </c>
      <c r="H670" s="65" t="s">
        <v>1114</v>
      </c>
      <c r="I670" s="65">
        <v>1500.0</v>
      </c>
    </row>
    <row r="671" ht="22.5" hidden="1" customHeight="1">
      <c r="A671" s="35">
        <v>46236.67373807871</v>
      </c>
      <c r="B671" s="64">
        <v>45862.0</v>
      </c>
      <c r="C671" s="65" t="s">
        <v>50</v>
      </c>
      <c r="D671" s="65" t="s">
        <v>1115</v>
      </c>
      <c r="E671" s="65" t="s">
        <v>277</v>
      </c>
      <c r="F671" s="65">
        <v>9.645396617E9</v>
      </c>
      <c r="H671" s="65" t="s">
        <v>1116</v>
      </c>
      <c r="I671" s="65">
        <v>500.0</v>
      </c>
    </row>
    <row r="672" ht="22.5" hidden="1" customHeight="1">
      <c r="A672" s="35">
        <v>46236.67437238426</v>
      </c>
      <c r="B672" s="64">
        <v>45863.0</v>
      </c>
      <c r="C672" s="65" t="s">
        <v>50</v>
      </c>
      <c r="D672" s="65" t="s">
        <v>1117</v>
      </c>
      <c r="F672" s="65">
        <v>9.946717767E9</v>
      </c>
      <c r="G672" s="65" t="s">
        <v>1118</v>
      </c>
      <c r="H672" s="65" t="s">
        <v>1119</v>
      </c>
      <c r="I672" s="65">
        <v>10000.0</v>
      </c>
    </row>
    <row r="673" ht="22.5" hidden="1" customHeight="1">
      <c r="A673" s="35">
        <v>46236.67511128473</v>
      </c>
      <c r="B673" s="64">
        <v>45863.0</v>
      </c>
      <c r="C673" s="65" t="s">
        <v>53</v>
      </c>
      <c r="D673" s="65" t="s">
        <v>1120</v>
      </c>
      <c r="E673" s="65" t="s">
        <v>277</v>
      </c>
      <c r="F673" s="65">
        <v>9.400789205E9</v>
      </c>
      <c r="H673" s="65" t="s">
        <v>1121</v>
      </c>
      <c r="I673" s="65">
        <v>2500.0</v>
      </c>
    </row>
    <row r="674" ht="22.5" hidden="1" customHeight="1">
      <c r="A674" s="35">
        <v>46236.675789375004</v>
      </c>
      <c r="B674" s="64">
        <v>45864.0</v>
      </c>
      <c r="C674" s="65" t="s">
        <v>53</v>
      </c>
      <c r="D674" s="65" t="s">
        <v>1122</v>
      </c>
      <c r="E674" s="65" t="s">
        <v>1123</v>
      </c>
      <c r="F674" s="65">
        <v>9.539107847E9</v>
      </c>
      <c r="H674" s="65" t="s">
        <v>1124</v>
      </c>
      <c r="I674" s="65">
        <v>500.0</v>
      </c>
    </row>
    <row r="675" ht="22.5" hidden="1" customHeight="1">
      <c r="A675" s="35">
        <v>46236.676404259255</v>
      </c>
      <c r="B675" s="64">
        <v>45845.0</v>
      </c>
      <c r="C675" s="65" t="s">
        <v>50</v>
      </c>
      <c r="D675" s="33" t="s">
        <v>68</v>
      </c>
      <c r="F675" s="31">
        <v>9.847880118E9</v>
      </c>
      <c r="H675" s="65" t="s">
        <v>1125</v>
      </c>
      <c r="I675" s="65">
        <v>2000.0</v>
      </c>
    </row>
    <row r="676" ht="22.5" hidden="1" customHeight="1">
      <c r="A676" s="35">
        <v>46236.67806251158</v>
      </c>
      <c r="B676" s="64">
        <v>45865.0</v>
      </c>
      <c r="C676" s="65" t="s">
        <v>50</v>
      </c>
      <c r="D676" s="65" t="s">
        <v>1126</v>
      </c>
      <c r="E676" s="65" t="s">
        <v>277</v>
      </c>
      <c r="F676" s="65">
        <v>9.7154368757E11</v>
      </c>
      <c r="H676" s="65" t="s">
        <v>1127</v>
      </c>
      <c r="I676" s="65">
        <v>1000.0</v>
      </c>
    </row>
    <row r="677" ht="22.5" hidden="1" customHeight="1">
      <c r="A677" s="35">
        <v>46236.67854603009</v>
      </c>
      <c r="B677" s="64">
        <v>45866.0</v>
      </c>
      <c r="C677" s="65" t="s">
        <v>50</v>
      </c>
      <c r="D677" s="65" t="s">
        <v>1128</v>
      </c>
      <c r="E677" s="65" t="s">
        <v>277</v>
      </c>
      <c r="F677" s="65">
        <v>9.7154368757E11</v>
      </c>
      <c r="H677" s="65" t="s">
        <v>1129</v>
      </c>
      <c r="I677" s="65">
        <v>500.0</v>
      </c>
    </row>
    <row r="678" ht="22.5" hidden="1" customHeight="1">
      <c r="A678" s="35">
        <v>46236.67889759259</v>
      </c>
      <c r="B678" s="64">
        <v>45867.0</v>
      </c>
      <c r="C678" s="65" t="s">
        <v>50</v>
      </c>
      <c r="D678" s="65" t="s">
        <v>349</v>
      </c>
      <c r="F678" s="65">
        <v>6.235536872E9</v>
      </c>
      <c r="H678" s="65" t="s">
        <v>1130</v>
      </c>
      <c r="I678" s="65">
        <v>2900.0</v>
      </c>
    </row>
    <row r="679" ht="22.5" hidden="1" customHeight="1">
      <c r="A679" s="35">
        <v>46236.68505752315</v>
      </c>
      <c r="B679" s="64">
        <v>45868.0</v>
      </c>
      <c r="C679" s="65" t="s">
        <v>53</v>
      </c>
      <c r="D679" s="65" t="s">
        <v>1131</v>
      </c>
      <c r="E679" s="65" t="s">
        <v>277</v>
      </c>
      <c r="F679" s="65">
        <v>9.747505035E9</v>
      </c>
      <c r="H679" s="65" t="s">
        <v>1132</v>
      </c>
      <c r="I679" s="65">
        <v>500.0</v>
      </c>
    </row>
    <row r="680" ht="22.5" hidden="1" customHeight="1">
      <c r="A680" s="35">
        <v>46236.68557494213</v>
      </c>
      <c r="B680" s="64">
        <v>45868.0</v>
      </c>
      <c r="C680" s="65" t="s">
        <v>53</v>
      </c>
      <c r="D680" s="65" t="s">
        <v>1133</v>
      </c>
      <c r="E680" s="65" t="s">
        <v>277</v>
      </c>
      <c r="F680" s="65">
        <v>9.895920334E9</v>
      </c>
      <c r="H680" s="65" t="s">
        <v>1134</v>
      </c>
      <c r="I680" s="65">
        <v>500.0</v>
      </c>
    </row>
    <row r="681" ht="22.5" hidden="1" customHeight="1">
      <c r="A681" s="35">
        <v>46236.68605517361</v>
      </c>
      <c r="B681" s="64">
        <v>45868.0</v>
      </c>
      <c r="C681" s="65" t="s">
        <v>53</v>
      </c>
      <c r="D681" s="65" t="s">
        <v>1135</v>
      </c>
      <c r="E681" s="65" t="s">
        <v>277</v>
      </c>
      <c r="F681" s="65">
        <v>7.025524546E9</v>
      </c>
      <c r="H681" s="65" t="s">
        <v>1136</v>
      </c>
      <c r="I681" s="65">
        <v>500.0</v>
      </c>
    </row>
    <row r="682" ht="22.5" hidden="1" customHeight="1">
      <c r="A682" s="35">
        <v>46236.768539282406</v>
      </c>
      <c r="B682" s="64">
        <v>45809.0</v>
      </c>
      <c r="C682" s="65" t="s">
        <v>53</v>
      </c>
      <c r="D682" s="33" t="s">
        <v>68</v>
      </c>
      <c r="F682" s="31">
        <v>9.847880118E9</v>
      </c>
      <c r="H682" s="65" t="s">
        <v>1137</v>
      </c>
      <c r="I682" s="65">
        <v>2500.0</v>
      </c>
    </row>
    <row r="683" ht="22.5" hidden="1" customHeight="1">
      <c r="A683" s="35">
        <v>46236.77498627314</v>
      </c>
      <c r="B683" s="64">
        <v>45809.0</v>
      </c>
      <c r="C683" s="65" t="s">
        <v>53</v>
      </c>
      <c r="D683" s="29" t="s">
        <v>57</v>
      </c>
      <c r="E683" s="65" t="s">
        <v>277</v>
      </c>
      <c r="F683" s="31">
        <v>8.943021829E9</v>
      </c>
      <c r="H683" s="65" t="s">
        <v>1138</v>
      </c>
      <c r="I683" s="65">
        <v>2000.0</v>
      </c>
    </row>
    <row r="684" ht="22.5" hidden="1" customHeight="1">
      <c r="A684" s="35">
        <v>46236.77554292824</v>
      </c>
      <c r="B684" s="64">
        <v>45810.0</v>
      </c>
      <c r="C684" s="65" t="s">
        <v>53</v>
      </c>
      <c r="D684" s="31" t="s">
        <v>54</v>
      </c>
      <c r="E684" s="65" t="s">
        <v>277</v>
      </c>
      <c r="F684" s="31">
        <v>9.995598693E9</v>
      </c>
      <c r="H684" s="65" t="s">
        <v>1139</v>
      </c>
      <c r="I684" s="65">
        <v>10500.0</v>
      </c>
    </row>
    <row r="685" ht="22.5" hidden="1" customHeight="1">
      <c r="A685" s="35">
        <v>46236.77604092592</v>
      </c>
      <c r="B685" s="64">
        <v>45811.0</v>
      </c>
      <c r="C685" s="65" t="s">
        <v>53</v>
      </c>
      <c r="D685" s="65" t="s">
        <v>450</v>
      </c>
      <c r="F685" s="65" t="s">
        <v>1140</v>
      </c>
      <c r="H685" s="65" t="s">
        <v>1141</v>
      </c>
      <c r="I685" s="65">
        <v>2500.0</v>
      </c>
    </row>
    <row r="686" ht="22.5" hidden="1" customHeight="1">
      <c r="A686" s="35">
        <v>46236.77708194444</v>
      </c>
      <c r="B686" s="64">
        <v>45812.0</v>
      </c>
      <c r="C686" s="65" t="s">
        <v>50</v>
      </c>
      <c r="D686" s="31" t="s">
        <v>59</v>
      </c>
      <c r="F686" s="31">
        <v>8.606781572E9</v>
      </c>
      <c r="H686" s="65" t="s">
        <v>1142</v>
      </c>
      <c r="I686" s="65">
        <v>2000.0</v>
      </c>
    </row>
    <row r="687" ht="22.5" hidden="1" customHeight="1">
      <c r="A687" s="35">
        <v>46236.77745221065</v>
      </c>
      <c r="B687" s="64">
        <v>45812.0</v>
      </c>
      <c r="C687" s="65" t="s">
        <v>53</v>
      </c>
      <c r="D687" s="33" t="s">
        <v>68</v>
      </c>
      <c r="F687" s="31">
        <v>9.847880118E9</v>
      </c>
      <c r="H687" s="65" t="s">
        <v>1143</v>
      </c>
      <c r="I687" s="65">
        <v>2000.0</v>
      </c>
    </row>
    <row r="688" ht="22.5" hidden="1" customHeight="1">
      <c r="A688" s="35">
        <v>46236.777863564814</v>
      </c>
      <c r="B688" s="64">
        <v>45812.0</v>
      </c>
      <c r="C688" s="65" t="s">
        <v>53</v>
      </c>
      <c r="D688" s="65" t="s">
        <v>1144</v>
      </c>
      <c r="F688" s="65">
        <v>9.207124027E9</v>
      </c>
      <c r="H688" s="65" t="s">
        <v>1145</v>
      </c>
      <c r="I688" s="65">
        <v>10000.0</v>
      </c>
    </row>
    <row r="689" ht="22.5" hidden="1" customHeight="1">
      <c r="A689" s="35">
        <v>46236.77827018518</v>
      </c>
      <c r="B689" s="64">
        <v>45813.0</v>
      </c>
      <c r="C689" s="65" t="s">
        <v>53</v>
      </c>
      <c r="D689" s="65" t="s">
        <v>1025</v>
      </c>
      <c r="F689" s="65">
        <v>9.94663296E9</v>
      </c>
      <c r="H689" s="65" t="s">
        <v>1146</v>
      </c>
      <c r="I689" s="65">
        <v>2000.0</v>
      </c>
    </row>
    <row r="690" ht="22.5" hidden="1" customHeight="1">
      <c r="A690" s="35">
        <v>46236.77864597223</v>
      </c>
      <c r="B690" s="64">
        <v>45814.0</v>
      </c>
      <c r="C690" s="65" t="s">
        <v>50</v>
      </c>
      <c r="D690" s="65" t="s">
        <v>699</v>
      </c>
      <c r="F690" s="65">
        <v>9.447541357E9</v>
      </c>
      <c r="H690" s="65" t="s">
        <v>1147</v>
      </c>
      <c r="I690" s="65">
        <v>10000.0</v>
      </c>
    </row>
    <row r="691" ht="22.5" hidden="1" customHeight="1">
      <c r="A691" s="35">
        <v>46236.77959489584</v>
      </c>
      <c r="B691" s="64">
        <v>45814.0</v>
      </c>
      <c r="C691" s="65" t="s">
        <v>50</v>
      </c>
      <c r="D691" s="65" t="s">
        <v>1148</v>
      </c>
      <c r="F691" s="65" t="s">
        <v>1149</v>
      </c>
      <c r="H691" s="65" t="s">
        <v>1150</v>
      </c>
      <c r="I691" s="65">
        <v>4000.0</v>
      </c>
    </row>
    <row r="692" ht="22.5" hidden="1" customHeight="1">
      <c r="A692" s="35">
        <v>46236.779950509255</v>
      </c>
      <c r="B692" s="64">
        <v>45814.0</v>
      </c>
      <c r="C692" s="65" t="s">
        <v>53</v>
      </c>
      <c r="D692" s="65" t="s">
        <v>1023</v>
      </c>
      <c r="F692" s="65">
        <v>7.994571166E9</v>
      </c>
      <c r="H692" s="65" t="s">
        <v>1151</v>
      </c>
      <c r="I692" s="65">
        <v>2000.0</v>
      </c>
    </row>
    <row r="693" ht="22.5" hidden="1" customHeight="1">
      <c r="A693" s="35">
        <v>46236.78041619213</v>
      </c>
      <c r="B693" s="64">
        <v>45819.0</v>
      </c>
      <c r="C693" s="65" t="s">
        <v>50</v>
      </c>
      <c r="D693" s="65" t="s">
        <v>1152</v>
      </c>
      <c r="F693" s="65" t="s">
        <v>1153</v>
      </c>
      <c r="H693" s="65" t="s">
        <v>1154</v>
      </c>
      <c r="I693" s="65">
        <v>30000.0</v>
      </c>
    </row>
    <row r="694" ht="22.5" hidden="1" customHeight="1">
      <c r="A694" s="35">
        <v>46236.78086038194</v>
      </c>
      <c r="B694" s="64">
        <v>45819.0</v>
      </c>
      <c r="C694" s="65" t="s">
        <v>53</v>
      </c>
      <c r="D694" s="65" t="s">
        <v>1155</v>
      </c>
      <c r="F694" s="65">
        <v>9.446005483E9</v>
      </c>
      <c r="H694" s="65" t="s">
        <v>1156</v>
      </c>
      <c r="I694" s="65">
        <v>25000.0</v>
      </c>
    </row>
    <row r="695" ht="22.5" hidden="1" customHeight="1">
      <c r="A695" s="35">
        <v>46236.781242048615</v>
      </c>
      <c r="B695" s="64">
        <v>45823.0</v>
      </c>
      <c r="C695" s="65" t="s">
        <v>50</v>
      </c>
      <c r="D695" s="29" t="s">
        <v>51</v>
      </c>
      <c r="F695" s="31">
        <v>9.71522263798E11</v>
      </c>
      <c r="H695" s="65" t="s">
        <v>1157</v>
      </c>
      <c r="I695" s="65">
        <v>1500.0</v>
      </c>
    </row>
    <row r="696" ht="22.5" hidden="1" customHeight="1">
      <c r="A696" s="35">
        <v>46236.781747002315</v>
      </c>
      <c r="B696" s="64">
        <v>45825.0</v>
      </c>
      <c r="C696" s="65" t="s">
        <v>53</v>
      </c>
      <c r="D696" s="65" t="s">
        <v>1158</v>
      </c>
      <c r="F696" s="65">
        <v>9.895888317E9</v>
      </c>
      <c r="H696" s="65" t="s">
        <v>1159</v>
      </c>
      <c r="I696" s="65">
        <v>30000.0</v>
      </c>
    </row>
    <row r="697" ht="22.5" hidden="1" customHeight="1">
      <c r="A697" s="35">
        <v>46236.782229641205</v>
      </c>
      <c r="B697" s="64">
        <v>45826.0</v>
      </c>
      <c r="C697" s="65" t="s">
        <v>50</v>
      </c>
      <c r="D697" s="65" t="s">
        <v>1160</v>
      </c>
      <c r="F697" s="65">
        <v>8.547551155E9</v>
      </c>
      <c r="H697" s="65" t="s">
        <v>1161</v>
      </c>
      <c r="I697" s="65">
        <v>30000.0</v>
      </c>
    </row>
    <row r="698" ht="22.5" hidden="1" customHeight="1">
      <c r="A698" s="35">
        <v>46236.782748831014</v>
      </c>
      <c r="B698" s="64">
        <v>45829.0</v>
      </c>
      <c r="C698" s="65" t="s">
        <v>53</v>
      </c>
      <c r="D698" s="65" t="s">
        <v>1162</v>
      </c>
      <c r="E698" s="65" t="s">
        <v>277</v>
      </c>
      <c r="F698" s="65">
        <v>9.02584816E9</v>
      </c>
      <c r="H698" s="65" t="s">
        <v>1163</v>
      </c>
      <c r="I698" s="65">
        <v>500.0</v>
      </c>
    </row>
    <row r="699" ht="22.5" hidden="1" customHeight="1">
      <c r="A699" s="35">
        <v>46236.783206527776</v>
      </c>
      <c r="B699" s="64">
        <v>45837.0</v>
      </c>
      <c r="C699" s="65" t="s">
        <v>50</v>
      </c>
      <c r="D699" s="65" t="s">
        <v>1164</v>
      </c>
      <c r="F699" s="65">
        <v>7.736900944E9</v>
      </c>
      <c r="G699" s="65">
        <v>8.943177777E9</v>
      </c>
      <c r="H699" s="65" t="s">
        <v>1165</v>
      </c>
      <c r="I699" s="65">
        <v>10000.0</v>
      </c>
    </row>
    <row r="700" ht="22.5" hidden="1" customHeight="1">
      <c r="A700" s="35">
        <v>46236.78375690972</v>
      </c>
      <c r="B700" s="64">
        <v>45837.0</v>
      </c>
      <c r="C700" s="65" t="s">
        <v>50</v>
      </c>
      <c r="D700" s="65" t="s">
        <v>1166</v>
      </c>
      <c r="E700" s="65" t="s">
        <v>1167</v>
      </c>
      <c r="F700" s="65">
        <v>7.559864498E9</v>
      </c>
      <c r="H700" s="65" t="s">
        <v>1168</v>
      </c>
      <c r="I700" s="65">
        <v>30000.0</v>
      </c>
    </row>
    <row r="701" ht="22.5" hidden="1" customHeight="1">
      <c r="A701" s="35">
        <v>46236.79188868056</v>
      </c>
      <c r="B701" s="64">
        <v>45778.0</v>
      </c>
      <c r="C701" s="65" t="s">
        <v>50</v>
      </c>
      <c r="D701" s="65" t="s">
        <v>349</v>
      </c>
      <c r="F701" s="65">
        <v>6.235536872E9</v>
      </c>
      <c r="H701" s="65" t="s">
        <v>1169</v>
      </c>
      <c r="I701" s="65">
        <v>2900.0</v>
      </c>
    </row>
    <row r="702" ht="22.5" hidden="1" customHeight="1">
      <c r="A702" s="35">
        <v>46236.79231063658</v>
      </c>
      <c r="B702" s="64">
        <v>45778.0</v>
      </c>
      <c r="C702" s="65" t="s">
        <v>64</v>
      </c>
      <c r="D702" s="65" t="s">
        <v>968</v>
      </c>
      <c r="F702" s="65">
        <v>9.89527027E9</v>
      </c>
      <c r="H702" s="65" t="s">
        <v>1170</v>
      </c>
      <c r="I702" s="65">
        <v>5000.0</v>
      </c>
    </row>
    <row r="703" ht="22.5" hidden="1" customHeight="1">
      <c r="A703" s="35">
        <v>46236.79465762731</v>
      </c>
      <c r="B703" s="64">
        <v>45779.0</v>
      </c>
      <c r="C703" s="65" t="s">
        <v>64</v>
      </c>
      <c r="D703" s="65" t="s">
        <v>504</v>
      </c>
      <c r="H703" s="65" t="s">
        <v>1171</v>
      </c>
      <c r="I703" s="65">
        <v>25000.0</v>
      </c>
    </row>
    <row r="704" ht="22.5" hidden="1" customHeight="1">
      <c r="A704" s="35">
        <v>46236.7951155787</v>
      </c>
      <c r="B704" s="64">
        <v>45779.0</v>
      </c>
      <c r="C704" s="65" t="s">
        <v>53</v>
      </c>
      <c r="D704" s="31" t="s">
        <v>54</v>
      </c>
      <c r="F704" s="31">
        <v>9.995598693E9</v>
      </c>
      <c r="H704" s="65" t="s">
        <v>1172</v>
      </c>
      <c r="I704" s="65">
        <v>10500.0</v>
      </c>
    </row>
    <row r="705" ht="22.5" hidden="1" customHeight="1">
      <c r="A705" s="35">
        <v>46236.795682129625</v>
      </c>
      <c r="B705" s="64">
        <v>45780.0</v>
      </c>
      <c r="C705" s="65" t="s">
        <v>50</v>
      </c>
      <c r="D705" s="65" t="s">
        <v>1173</v>
      </c>
      <c r="F705" s="65">
        <v>8.547775577E9</v>
      </c>
      <c r="H705" s="65" t="s">
        <v>1174</v>
      </c>
      <c r="I705" s="65">
        <v>10000.0</v>
      </c>
    </row>
    <row r="706" ht="22.5" hidden="1" customHeight="1">
      <c r="A706" s="35">
        <v>46236.79608671296</v>
      </c>
      <c r="B706" s="64">
        <v>45780.0</v>
      </c>
      <c r="C706" s="65" t="s">
        <v>50</v>
      </c>
      <c r="D706" s="65" t="s">
        <v>356</v>
      </c>
      <c r="F706" s="65" t="s">
        <v>1149</v>
      </c>
      <c r="H706" s="65" t="s">
        <v>1175</v>
      </c>
      <c r="I706" s="65">
        <v>5000.0</v>
      </c>
    </row>
    <row r="707" ht="22.5" hidden="1" customHeight="1">
      <c r="A707" s="35">
        <v>46236.79660440973</v>
      </c>
      <c r="B707" s="64">
        <v>45785.0</v>
      </c>
      <c r="C707" s="65" t="s">
        <v>53</v>
      </c>
      <c r="D707" s="29" t="s">
        <v>57</v>
      </c>
      <c r="E707" s="65" t="s">
        <v>277</v>
      </c>
      <c r="F707" s="31">
        <v>8.943021829E9</v>
      </c>
      <c r="H707" s="65" t="s">
        <v>1176</v>
      </c>
      <c r="I707" s="65">
        <v>2000.0</v>
      </c>
    </row>
    <row r="708" ht="22.5" hidden="1" customHeight="1">
      <c r="A708" s="35">
        <v>46236.79697215278</v>
      </c>
      <c r="B708" s="64">
        <v>45786.0</v>
      </c>
      <c r="C708" s="65" t="s">
        <v>248</v>
      </c>
      <c r="D708" s="65" t="s">
        <v>1177</v>
      </c>
      <c r="F708" s="65">
        <v>9.846846806E9</v>
      </c>
      <c r="H708" s="65" t="s">
        <v>1178</v>
      </c>
      <c r="I708" s="65">
        <v>5000.0</v>
      </c>
    </row>
    <row r="709" ht="22.5" hidden="1" customHeight="1">
      <c r="A709" s="35">
        <v>46236.79729716435</v>
      </c>
      <c r="B709" s="64">
        <v>45787.0</v>
      </c>
      <c r="C709" s="65" t="s">
        <v>50</v>
      </c>
      <c r="D709" s="65" t="s">
        <v>801</v>
      </c>
      <c r="F709" s="65">
        <v>9.061996104E9</v>
      </c>
      <c r="H709" s="65" t="s">
        <v>1179</v>
      </c>
      <c r="I709" s="65">
        <v>5000.0</v>
      </c>
    </row>
    <row r="710" ht="22.5" hidden="1" customHeight="1">
      <c r="A710" s="35">
        <v>46236.79782753473</v>
      </c>
      <c r="B710" s="64">
        <v>45789.0</v>
      </c>
      <c r="C710" s="65" t="s">
        <v>64</v>
      </c>
      <c r="D710" s="65" t="s">
        <v>1180</v>
      </c>
      <c r="F710" s="65">
        <v>9.496363775E9</v>
      </c>
      <c r="G710" s="65">
        <v>9.809525821E9</v>
      </c>
      <c r="H710" s="65" t="s">
        <v>1181</v>
      </c>
      <c r="I710" s="65">
        <v>30000.0</v>
      </c>
    </row>
    <row r="711" ht="22.5" hidden="1" customHeight="1">
      <c r="A711" s="35">
        <v>46236.79818917824</v>
      </c>
      <c r="B711" s="64">
        <v>45790.0</v>
      </c>
      <c r="C711" s="65" t="s">
        <v>50</v>
      </c>
      <c r="D711" s="29" t="s">
        <v>51</v>
      </c>
      <c r="F711" s="31">
        <v>9.71522263798E11</v>
      </c>
      <c r="H711" s="65" t="s">
        <v>1182</v>
      </c>
      <c r="I711" s="65">
        <v>1500.0</v>
      </c>
    </row>
    <row r="712" ht="22.5" hidden="1" customHeight="1">
      <c r="A712" s="35">
        <v>46236.79852949074</v>
      </c>
      <c r="B712" s="64">
        <v>45790.0</v>
      </c>
      <c r="C712" s="65" t="s">
        <v>53</v>
      </c>
      <c r="D712" s="65" t="s">
        <v>1025</v>
      </c>
      <c r="F712" s="65">
        <v>9.94663296E9</v>
      </c>
      <c r="H712" s="65" t="s">
        <v>1183</v>
      </c>
      <c r="I712" s="65">
        <v>2000.0</v>
      </c>
    </row>
    <row r="713" ht="22.5" hidden="1" customHeight="1">
      <c r="A713" s="35">
        <v>46236.79894255787</v>
      </c>
      <c r="B713" s="64">
        <v>45791.0</v>
      </c>
      <c r="C713" s="65" t="s">
        <v>50</v>
      </c>
      <c r="D713" s="65" t="s">
        <v>366</v>
      </c>
      <c r="F713" s="65">
        <v>9.605953571E9</v>
      </c>
      <c r="H713" s="65" t="s">
        <v>1184</v>
      </c>
      <c r="I713" s="65">
        <v>21891.0</v>
      </c>
    </row>
    <row r="714" ht="22.5" hidden="1" customHeight="1">
      <c r="A714" s="35">
        <v>46236.799295069446</v>
      </c>
      <c r="B714" s="64">
        <v>45794.0</v>
      </c>
      <c r="C714" s="65" t="s">
        <v>50</v>
      </c>
      <c r="D714" s="33" t="s">
        <v>68</v>
      </c>
      <c r="F714" s="31">
        <v>9.847880118E9</v>
      </c>
      <c r="H714" s="65" t="s">
        <v>1185</v>
      </c>
      <c r="I714" s="65">
        <v>2000.0</v>
      </c>
    </row>
    <row r="715" ht="22.5" hidden="1" customHeight="1">
      <c r="A715" s="35">
        <v>46236.79978086805</v>
      </c>
      <c r="B715" s="64">
        <v>45798.0</v>
      </c>
      <c r="C715" s="65" t="s">
        <v>50</v>
      </c>
      <c r="D715" s="65" t="s">
        <v>1186</v>
      </c>
      <c r="F715" s="65">
        <v>7.736900944E9</v>
      </c>
      <c r="G715" s="65">
        <v>8.943177777E9</v>
      </c>
      <c r="H715" s="65" t="s">
        <v>1187</v>
      </c>
      <c r="I715" s="65">
        <v>10000.0</v>
      </c>
    </row>
    <row r="716" ht="22.5" hidden="1" customHeight="1">
      <c r="A716" s="35">
        <v>46236.80007686342</v>
      </c>
      <c r="B716" s="64">
        <v>45798.0</v>
      </c>
      <c r="C716" s="65" t="s">
        <v>50</v>
      </c>
      <c r="D716" s="65" t="s">
        <v>699</v>
      </c>
      <c r="F716" s="65">
        <v>9.447541357E9</v>
      </c>
      <c r="H716" s="65" t="s">
        <v>1188</v>
      </c>
      <c r="I716" s="65">
        <v>1000.0</v>
      </c>
    </row>
    <row r="717" ht="22.5" hidden="1" customHeight="1">
      <c r="A717" s="35">
        <v>46236.80067936343</v>
      </c>
      <c r="B717" s="64">
        <v>45799.0</v>
      </c>
      <c r="C717" s="65" t="s">
        <v>64</v>
      </c>
      <c r="D717" s="65" t="s">
        <v>1189</v>
      </c>
      <c r="E717" s="65" t="s">
        <v>981</v>
      </c>
      <c r="H717" s="65" t="s">
        <v>1190</v>
      </c>
      <c r="I717" s="65">
        <v>4300.0</v>
      </c>
    </row>
    <row r="718" ht="22.5" hidden="1" customHeight="1">
      <c r="A718" s="35">
        <v>46236.801247118055</v>
      </c>
      <c r="B718" s="64">
        <v>45685.0</v>
      </c>
      <c r="C718" s="65" t="s">
        <v>53</v>
      </c>
      <c r="D718" s="65" t="s">
        <v>1191</v>
      </c>
      <c r="F718" s="65">
        <v>9.400861531E9</v>
      </c>
      <c r="H718" s="65" t="s">
        <v>1192</v>
      </c>
      <c r="I718" s="65">
        <v>2000.0</v>
      </c>
    </row>
    <row r="719" ht="22.5" hidden="1" customHeight="1">
      <c r="A719" s="35">
        <v>46236.8015834375</v>
      </c>
      <c r="B719" s="64">
        <v>45806.0</v>
      </c>
      <c r="C719" s="65" t="s">
        <v>50</v>
      </c>
      <c r="D719" s="65" t="s">
        <v>349</v>
      </c>
      <c r="F719" s="65">
        <v>6.235536872E9</v>
      </c>
      <c r="H719" s="65" t="s">
        <v>1193</v>
      </c>
      <c r="I719" s="65">
        <v>2400.0</v>
      </c>
    </row>
    <row r="720" ht="22.5" hidden="1" customHeight="1">
      <c r="A720" s="35">
        <v>46236.80194491898</v>
      </c>
      <c r="B720" s="64">
        <v>45806.0</v>
      </c>
      <c r="C720" s="65" t="s">
        <v>53</v>
      </c>
      <c r="D720" s="65" t="s">
        <v>1194</v>
      </c>
      <c r="F720" s="65">
        <v>7.306184278E9</v>
      </c>
      <c r="H720" s="65" t="s">
        <v>1195</v>
      </c>
      <c r="I720" s="65">
        <v>12000.0</v>
      </c>
    </row>
    <row r="721" ht="22.5" hidden="1" customHeight="1">
      <c r="A721" s="35">
        <v>46236.80268425926</v>
      </c>
      <c r="B721" s="64">
        <v>45807.0</v>
      </c>
      <c r="C721" s="65" t="s">
        <v>64</v>
      </c>
      <c r="D721" s="65" t="s">
        <v>903</v>
      </c>
      <c r="E721" s="65" t="s">
        <v>691</v>
      </c>
      <c r="H721" s="65" t="s">
        <v>1196</v>
      </c>
      <c r="I721" s="65">
        <v>10000.0</v>
      </c>
    </row>
    <row r="722" ht="22.5" hidden="1" customHeight="1">
      <c r="A722" s="35">
        <v>46236.80319851852</v>
      </c>
      <c r="B722" s="64">
        <v>45807.0</v>
      </c>
      <c r="C722" s="65" t="s">
        <v>53</v>
      </c>
      <c r="D722" s="65" t="s">
        <v>1197</v>
      </c>
      <c r="F722" s="65" t="s">
        <v>1198</v>
      </c>
      <c r="H722" s="65" t="s">
        <v>1199</v>
      </c>
      <c r="I722" s="65">
        <v>30000.0</v>
      </c>
    </row>
    <row r="723" ht="22.5" hidden="1" customHeight="1">
      <c r="A723" s="35">
        <v>46236.803535520834</v>
      </c>
      <c r="B723" s="64">
        <v>45808.0</v>
      </c>
      <c r="C723" s="65" t="s">
        <v>64</v>
      </c>
      <c r="D723" s="65" t="s">
        <v>1200</v>
      </c>
      <c r="F723" s="65">
        <v>9.745724503E9</v>
      </c>
      <c r="H723" s="65" t="s">
        <v>1201</v>
      </c>
      <c r="I723" s="65">
        <v>5000.0</v>
      </c>
    </row>
    <row r="724" ht="22.5" hidden="1" customHeight="1">
      <c r="A724" s="35">
        <v>46236.8048037963</v>
      </c>
      <c r="B724" s="64">
        <v>45749.0</v>
      </c>
      <c r="C724" s="65" t="s">
        <v>50</v>
      </c>
      <c r="D724" s="65" t="s">
        <v>349</v>
      </c>
      <c r="F724" s="65">
        <v>6.235536872E9</v>
      </c>
      <c r="H724" s="65" t="s">
        <v>1202</v>
      </c>
      <c r="I724" s="65">
        <v>2900.0</v>
      </c>
    </row>
    <row r="725" ht="22.5" hidden="1" customHeight="1">
      <c r="A725" s="35">
        <v>46236.80514943287</v>
      </c>
      <c r="B725" s="64">
        <v>45749.0</v>
      </c>
      <c r="C725" s="65" t="s">
        <v>53</v>
      </c>
      <c r="D725" s="31" t="s">
        <v>54</v>
      </c>
      <c r="F725" s="31">
        <v>9.995598693E9</v>
      </c>
      <c r="H725" s="65" t="s">
        <v>1203</v>
      </c>
      <c r="I725" s="65">
        <v>10500.0</v>
      </c>
    </row>
    <row r="726" ht="22.5" hidden="1" customHeight="1">
      <c r="A726" s="35">
        <v>46236.80549935185</v>
      </c>
      <c r="B726" s="64">
        <v>45749.0</v>
      </c>
      <c r="C726" s="65" t="s">
        <v>53</v>
      </c>
      <c r="D726" s="65" t="s">
        <v>1025</v>
      </c>
      <c r="F726" s="65">
        <v>9.94663296E9</v>
      </c>
      <c r="H726" s="65" t="s">
        <v>1204</v>
      </c>
      <c r="I726" s="65">
        <v>2000.0</v>
      </c>
    </row>
    <row r="727" ht="22.5" hidden="1" customHeight="1">
      <c r="A727" s="35">
        <v>46236.80795585648</v>
      </c>
      <c r="B727" s="64">
        <v>45750.0</v>
      </c>
      <c r="C727" s="65" t="s">
        <v>64</v>
      </c>
      <c r="D727" s="65" t="s">
        <v>1205</v>
      </c>
      <c r="E727" s="65" t="s">
        <v>913</v>
      </c>
      <c r="F727" s="65">
        <v>9.048833152E9</v>
      </c>
      <c r="H727" s="65" t="s">
        <v>1206</v>
      </c>
      <c r="I727" s="65">
        <v>5000.0</v>
      </c>
    </row>
    <row r="728" ht="22.5" hidden="1" customHeight="1">
      <c r="A728" s="35">
        <v>46236.80936924768</v>
      </c>
      <c r="B728" s="64">
        <v>45754.0</v>
      </c>
      <c r="C728" s="65" t="s">
        <v>64</v>
      </c>
      <c r="D728" s="65" t="s">
        <v>494</v>
      </c>
      <c r="E728" s="65" t="s">
        <v>1207</v>
      </c>
      <c r="H728" s="65" t="s">
        <v>1208</v>
      </c>
      <c r="I728" s="65">
        <v>30000.0</v>
      </c>
    </row>
    <row r="729" ht="22.5" hidden="1" customHeight="1">
      <c r="A729" s="35">
        <v>46236.81053737269</v>
      </c>
      <c r="B729" s="64">
        <v>45754.0</v>
      </c>
      <c r="C729" s="65" t="s">
        <v>64</v>
      </c>
      <c r="D729" s="65" t="s">
        <v>153</v>
      </c>
      <c r="E729" s="65" t="s">
        <v>1209</v>
      </c>
      <c r="H729" s="65" t="s">
        <v>1210</v>
      </c>
      <c r="I729" s="65">
        <v>30000.0</v>
      </c>
    </row>
    <row r="730" ht="22.5" hidden="1" customHeight="1">
      <c r="A730" s="35">
        <v>46236.8110256713</v>
      </c>
      <c r="B730" s="64">
        <v>45757.0</v>
      </c>
      <c r="C730" s="65" t="s">
        <v>53</v>
      </c>
      <c r="D730" s="65" t="s">
        <v>1211</v>
      </c>
      <c r="F730" s="65">
        <v>6.282443021E9</v>
      </c>
      <c r="H730" s="65" t="s">
        <v>1212</v>
      </c>
      <c r="I730" s="65">
        <v>2500.0</v>
      </c>
    </row>
    <row r="731" ht="22.5" hidden="1" customHeight="1">
      <c r="A731" s="35">
        <v>46236.81160601852</v>
      </c>
      <c r="B731" s="64">
        <v>45759.0</v>
      </c>
      <c r="C731" s="65" t="s">
        <v>64</v>
      </c>
      <c r="D731" s="65" t="s">
        <v>1213</v>
      </c>
      <c r="F731" s="65">
        <v>9.526271111E9</v>
      </c>
      <c r="H731" s="65" t="s">
        <v>1214</v>
      </c>
      <c r="I731" s="65">
        <v>30000.0</v>
      </c>
    </row>
    <row r="732" ht="22.5" hidden="1" customHeight="1">
      <c r="A732" s="35">
        <v>46236.81234423611</v>
      </c>
      <c r="B732" s="64">
        <v>45759.0</v>
      </c>
      <c r="C732" s="65" t="s">
        <v>64</v>
      </c>
      <c r="D732" s="65" t="s">
        <v>1215</v>
      </c>
      <c r="E732" s="65" t="s">
        <v>913</v>
      </c>
      <c r="H732" s="65" t="s">
        <v>1216</v>
      </c>
      <c r="I732" s="65">
        <v>5000.0</v>
      </c>
    </row>
    <row r="733" ht="22.5" hidden="1" customHeight="1">
      <c r="A733" s="35">
        <v>46236.812718113426</v>
      </c>
      <c r="B733" s="64">
        <v>45759.0</v>
      </c>
      <c r="C733" s="65" t="s">
        <v>64</v>
      </c>
      <c r="D733" s="65" t="s">
        <v>1217</v>
      </c>
      <c r="E733" s="65" t="s">
        <v>913</v>
      </c>
      <c r="H733" s="65" t="s">
        <v>1216</v>
      </c>
      <c r="I733" s="65">
        <v>5000.0</v>
      </c>
    </row>
    <row r="734" ht="22.5" hidden="1" customHeight="1">
      <c r="A734" s="35">
        <v>46236.81348783565</v>
      </c>
      <c r="B734" s="64">
        <v>45760.0</v>
      </c>
      <c r="C734" s="65" t="s">
        <v>64</v>
      </c>
      <c r="D734" s="65" t="s">
        <v>1218</v>
      </c>
      <c r="F734" s="65">
        <v>8.606006881E9</v>
      </c>
      <c r="H734" s="65" t="s">
        <v>1219</v>
      </c>
      <c r="I734" s="65">
        <v>5000.0</v>
      </c>
    </row>
    <row r="735" ht="22.5" hidden="1" customHeight="1">
      <c r="A735" s="35">
        <v>46236.81384716435</v>
      </c>
      <c r="B735" s="64">
        <v>45761.0</v>
      </c>
      <c r="C735" s="65" t="s">
        <v>50</v>
      </c>
      <c r="D735" s="65" t="s">
        <v>1220</v>
      </c>
      <c r="F735" s="65" t="s">
        <v>1221</v>
      </c>
      <c r="H735" s="65" t="s">
        <v>1222</v>
      </c>
      <c r="I735" s="65">
        <v>30000.0</v>
      </c>
    </row>
    <row r="736" ht="22.5" hidden="1" customHeight="1">
      <c r="A736" s="35">
        <v>46236.81440267361</v>
      </c>
      <c r="B736" s="64">
        <v>45762.0</v>
      </c>
      <c r="C736" s="65" t="s">
        <v>53</v>
      </c>
      <c r="D736" s="65" t="s">
        <v>1223</v>
      </c>
      <c r="F736" s="65" t="s">
        <v>1224</v>
      </c>
      <c r="H736" s="65" t="s">
        <v>1225</v>
      </c>
      <c r="I736" s="65">
        <v>15500.0</v>
      </c>
    </row>
    <row r="737" ht="22.5" hidden="1" customHeight="1">
      <c r="A737" s="35">
        <v>46236.81494571759</v>
      </c>
      <c r="B737" s="64">
        <v>45763.0</v>
      </c>
      <c r="C737" s="65" t="s">
        <v>64</v>
      </c>
      <c r="D737" s="65" t="s">
        <v>1226</v>
      </c>
      <c r="F737" s="65">
        <v>8.606708105E9</v>
      </c>
      <c r="H737" s="65" t="s">
        <v>1227</v>
      </c>
      <c r="I737" s="65">
        <v>15000.0</v>
      </c>
    </row>
    <row r="738" ht="22.5" hidden="1" customHeight="1">
      <c r="A738" s="35">
        <v>46236.8155852662</v>
      </c>
      <c r="B738" s="64">
        <v>45763.0</v>
      </c>
      <c r="C738" s="65" t="s">
        <v>53</v>
      </c>
      <c r="D738" s="65" t="s">
        <v>1228</v>
      </c>
      <c r="F738" s="65" t="s">
        <v>1229</v>
      </c>
      <c r="H738" s="65" t="s">
        <v>1230</v>
      </c>
      <c r="I738" s="65">
        <v>30000.0</v>
      </c>
    </row>
    <row r="739" ht="22.5" hidden="1" customHeight="1">
      <c r="A739" s="35">
        <v>46236.8160484375</v>
      </c>
      <c r="B739" s="64">
        <v>45763.0</v>
      </c>
      <c r="C739" s="65" t="s">
        <v>53</v>
      </c>
      <c r="D739" s="65" t="s">
        <v>1231</v>
      </c>
      <c r="F739" s="65">
        <v>9.443321554E9</v>
      </c>
      <c r="H739" s="65" t="s">
        <v>1232</v>
      </c>
      <c r="I739" s="65">
        <v>30000.0</v>
      </c>
    </row>
    <row r="740" ht="22.5" hidden="1" customHeight="1">
      <c r="A740" s="35">
        <v>46236.81694815972</v>
      </c>
      <c r="B740" s="64">
        <v>45764.0</v>
      </c>
      <c r="C740" s="65" t="s">
        <v>64</v>
      </c>
      <c r="D740" s="33" t="s">
        <v>68</v>
      </c>
      <c r="F740" s="31">
        <v>9.847880118E9</v>
      </c>
      <c r="H740" s="65" t="s">
        <v>1233</v>
      </c>
      <c r="I740" s="65">
        <v>4500.0</v>
      </c>
    </row>
    <row r="741" ht="22.5" hidden="1" customHeight="1">
      <c r="A741" s="35">
        <v>46236.81870657408</v>
      </c>
      <c r="B741" s="64">
        <v>45764.0</v>
      </c>
      <c r="C741" s="65" t="s">
        <v>64</v>
      </c>
      <c r="D741" s="65" t="s">
        <v>1234</v>
      </c>
      <c r="F741" s="65">
        <v>9.744695539E9</v>
      </c>
      <c r="H741" s="65" t="s">
        <v>1235</v>
      </c>
      <c r="I741" s="65">
        <v>10000.0</v>
      </c>
    </row>
    <row r="742" ht="22.5" hidden="1" customHeight="1">
      <c r="A742" s="35">
        <v>46236.819260578704</v>
      </c>
      <c r="B742" s="64">
        <v>45764.0</v>
      </c>
      <c r="C742" s="65" t="s">
        <v>50</v>
      </c>
      <c r="D742" s="65" t="s">
        <v>500</v>
      </c>
      <c r="F742" s="65">
        <v>9.446778698E9</v>
      </c>
      <c r="H742" s="65" t="s">
        <v>1236</v>
      </c>
      <c r="I742" s="65">
        <v>10000.0</v>
      </c>
    </row>
    <row r="743" ht="22.5" hidden="1" customHeight="1">
      <c r="A743" s="35">
        <v>46236.82402222222</v>
      </c>
      <c r="B743" s="64">
        <v>45794.0</v>
      </c>
      <c r="C743" s="65" t="s">
        <v>50</v>
      </c>
      <c r="D743" s="65" t="s">
        <v>394</v>
      </c>
      <c r="F743" s="65">
        <v>9.71503963436E11</v>
      </c>
      <c r="H743" s="65" t="s">
        <v>1237</v>
      </c>
      <c r="I743" s="65">
        <v>10000.0</v>
      </c>
    </row>
    <row r="744" ht="22.5" hidden="1" customHeight="1">
      <c r="A744" s="35">
        <v>46236.825223865744</v>
      </c>
      <c r="B744" s="64">
        <v>45765.0</v>
      </c>
      <c r="C744" s="65" t="s">
        <v>50</v>
      </c>
      <c r="D744" s="65" t="s">
        <v>1238</v>
      </c>
      <c r="F744" s="65">
        <v>9.7155177036E11</v>
      </c>
      <c r="G744" s="65">
        <v>9.715525771E11</v>
      </c>
      <c r="H744" s="65" t="s">
        <v>1239</v>
      </c>
      <c r="I744" s="65">
        <v>29500.0</v>
      </c>
    </row>
    <row r="745" ht="22.5" hidden="1" customHeight="1">
      <c r="A745" s="35">
        <v>46236.82578143518</v>
      </c>
      <c r="B745" s="64">
        <v>45766.0</v>
      </c>
      <c r="C745" s="65" t="s">
        <v>50</v>
      </c>
      <c r="D745" s="65" t="s">
        <v>1240</v>
      </c>
      <c r="F745" s="65">
        <v>9.7155177036E11</v>
      </c>
      <c r="H745" s="65" t="s">
        <v>1241</v>
      </c>
      <c r="I745" s="65">
        <v>30000.0</v>
      </c>
    </row>
    <row r="746" ht="22.5" hidden="1" customHeight="1">
      <c r="A746" s="35">
        <v>46236.82622478009</v>
      </c>
      <c r="B746" s="64">
        <v>45766.0</v>
      </c>
      <c r="C746" s="65" t="s">
        <v>50</v>
      </c>
      <c r="D746" s="65" t="s">
        <v>1238</v>
      </c>
      <c r="F746" s="65" t="s">
        <v>1242</v>
      </c>
      <c r="H746" s="65" t="s">
        <v>1241</v>
      </c>
      <c r="I746" s="65">
        <v>500.0</v>
      </c>
    </row>
    <row r="747" ht="22.5" hidden="1" customHeight="1">
      <c r="A747" s="35">
        <v>46236.82662813658</v>
      </c>
      <c r="B747" s="64">
        <v>45768.0</v>
      </c>
      <c r="C747" s="65" t="s">
        <v>64</v>
      </c>
      <c r="D747" s="65" t="s">
        <v>573</v>
      </c>
      <c r="F747" s="65">
        <v>9.400490469E9</v>
      </c>
      <c r="H747" s="65" t="s">
        <v>1243</v>
      </c>
      <c r="I747" s="65">
        <v>5000.0</v>
      </c>
    </row>
    <row r="748" ht="22.5" hidden="1" customHeight="1">
      <c r="A748" s="35">
        <v>46236.82701846065</v>
      </c>
      <c r="B748" s="64">
        <v>45770.0</v>
      </c>
      <c r="C748" s="65" t="s">
        <v>50</v>
      </c>
      <c r="D748" s="65" t="s">
        <v>1244</v>
      </c>
      <c r="F748" s="65">
        <v>9.447353249E9</v>
      </c>
      <c r="H748" s="65" t="s">
        <v>1245</v>
      </c>
      <c r="I748" s="65">
        <v>25000.0</v>
      </c>
    </row>
    <row r="749" ht="22.5" hidden="1" customHeight="1">
      <c r="A749" s="35">
        <v>46236.82745896991</v>
      </c>
      <c r="B749" s="64">
        <v>45772.0</v>
      </c>
      <c r="C749" s="65" t="s">
        <v>50</v>
      </c>
      <c r="D749" s="65" t="s">
        <v>699</v>
      </c>
      <c r="F749" s="65">
        <v>9.447541357E9</v>
      </c>
      <c r="H749" s="65" t="s">
        <v>1246</v>
      </c>
      <c r="I749" s="65">
        <v>1500.0</v>
      </c>
    </row>
    <row r="750" ht="22.5" hidden="1" customHeight="1">
      <c r="A750" s="35">
        <v>46236.82798648148</v>
      </c>
      <c r="B750" s="64">
        <v>45772.0</v>
      </c>
      <c r="C750" s="65" t="s">
        <v>50</v>
      </c>
      <c r="D750" s="65" t="s">
        <v>542</v>
      </c>
      <c r="F750" s="65">
        <v>9.71556184243E11</v>
      </c>
      <c r="G750" s="65">
        <v>9.9476184243E10</v>
      </c>
      <c r="H750" s="65" t="s">
        <v>1247</v>
      </c>
      <c r="I750" s="65">
        <v>28190.0</v>
      </c>
    </row>
    <row r="751" ht="22.5" hidden="1" customHeight="1">
      <c r="A751" s="35">
        <v>46236.82842258102</v>
      </c>
      <c r="B751" s="64">
        <v>45777.0</v>
      </c>
      <c r="C751" s="65" t="s">
        <v>53</v>
      </c>
      <c r="D751" s="65" t="s">
        <v>1248</v>
      </c>
      <c r="F751" s="65">
        <v>9.447890627E9</v>
      </c>
      <c r="H751" s="65" t="s">
        <v>1249</v>
      </c>
      <c r="I751" s="65">
        <v>10000.0</v>
      </c>
    </row>
    <row r="752" ht="22.5" hidden="1" customHeight="1">
      <c r="A752" s="35">
        <v>46236.97895668981</v>
      </c>
      <c r="B752" s="64">
        <v>45566.0</v>
      </c>
      <c r="C752" s="65" t="s">
        <v>53</v>
      </c>
      <c r="D752" s="65" t="s">
        <v>1250</v>
      </c>
      <c r="F752" s="65">
        <v>8.086338456E9</v>
      </c>
      <c r="H752" s="65" t="s">
        <v>1251</v>
      </c>
      <c r="I752" s="65">
        <v>7000.0</v>
      </c>
    </row>
    <row r="753" ht="22.5" hidden="1" customHeight="1">
      <c r="A753" s="35">
        <v>46236.979414375004</v>
      </c>
      <c r="B753" s="64">
        <v>45567.0</v>
      </c>
      <c r="C753" s="65" t="s">
        <v>53</v>
      </c>
      <c r="D753" s="31" t="s">
        <v>54</v>
      </c>
      <c r="F753" s="31">
        <v>9.995598693E9</v>
      </c>
      <c r="H753" s="65" t="s">
        <v>1252</v>
      </c>
      <c r="I753" s="65">
        <v>10500.0</v>
      </c>
    </row>
    <row r="754" ht="22.5" hidden="1" customHeight="1">
      <c r="A754" s="35">
        <v>46236.97987628472</v>
      </c>
      <c r="B754" s="64">
        <v>45567.0</v>
      </c>
      <c r="C754" s="65" t="s">
        <v>53</v>
      </c>
      <c r="D754" s="65" t="s">
        <v>506</v>
      </c>
      <c r="F754" s="65">
        <v>9.745759562E9</v>
      </c>
      <c r="H754" s="65" t="s">
        <v>1253</v>
      </c>
      <c r="I754" s="65">
        <v>6000.0</v>
      </c>
    </row>
    <row r="755" ht="22.5" hidden="1" customHeight="1">
      <c r="A755" s="35">
        <v>46236.980693680554</v>
      </c>
      <c r="B755" s="64">
        <v>45567.0</v>
      </c>
      <c r="C755" s="65" t="s">
        <v>64</v>
      </c>
      <c r="D755" s="65" t="s">
        <v>1254</v>
      </c>
      <c r="E755" s="65" t="s">
        <v>1255</v>
      </c>
      <c r="H755" s="65" t="s">
        <v>1256</v>
      </c>
      <c r="I755" s="65">
        <v>10000.0</v>
      </c>
    </row>
    <row r="756" ht="22.5" hidden="1" customHeight="1">
      <c r="A756" s="35">
        <v>46236.98139339121</v>
      </c>
      <c r="B756" s="64">
        <v>45568.0</v>
      </c>
      <c r="C756" s="65" t="s">
        <v>53</v>
      </c>
      <c r="D756" s="65" t="s">
        <v>349</v>
      </c>
      <c r="F756" s="65">
        <v>6.235536872E9</v>
      </c>
      <c r="H756" s="65" t="s">
        <v>1257</v>
      </c>
      <c r="I756" s="65">
        <v>2600.0</v>
      </c>
    </row>
    <row r="757" ht="22.5" hidden="1" customHeight="1">
      <c r="A757" s="35">
        <v>46236.98182053241</v>
      </c>
      <c r="B757" s="64">
        <v>45570.0</v>
      </c>
      <c r="C757" s="65" t="s">
        <v>53</v>
      </c>
      <c r="D757" s="31" t="s">
        <v>59</v>
      </c>
      <c r="F757" s="31">
        <v>8.606781572E9</v>
      </c>
      <c r="H757" s="65" t="s">
        <v>1258</v>
      </c>
      <c r="I757" s="65">
        <v>2500.0</v>
      </c>
    </row>
    <row r="758" ht="22.5" hidden="1" customHeight="1">
      <c r="A758" s="35">
        <v>46236.98285854167</v>
      </c>
      <c r="B758" s="64">
        <v>45570.0</v>
      </c>
      <c r="C758" s="65" t="s">
        <v>64</v>
      </c>
      <c r="D758" s="65" t="s">
        <v>1259</v>
      </c>
      <c r="F758" s="65">
        <v>9.89527027E9</v>
      </c>
      <c r="H758" s="65" t="s">
        <v>1260</v>
      </c>
      <c r="I758" s="65">
        <v>2500.0</v>
      </c>
    </row>
    <row r="759" ht="22.5" hidden="1" customHeight="1">
      <c r="A759" s="35">
        <v>46236.98345519676</v>
      </c>
      <c r="B759" s="64">
        <v>45570.0</v>
      </c>
      <c r="C759" s="65" t="s">
        <v>64</v>
      </c>
      <c r="D759" s="65" t="s">
        <v>1261</v>
      </c>
      <c r="F759" s="65">
        <v>9.747420204E9</v>
      </c>
      <c r="H759" s="65" t="s">
        <v>1262</v>
      </c>
      <c r="I759" s="65">
        <v>2500.0</v>
      </c>
    </row>
    <row r="760" ht="22.5" hidden="1" customHeight="1">
      <c r="A760" s="35">
        <v>46236.98426081019</v>
      </c>
      <c r="B760" s="64">
        <v>45570.0</v>
      </c>
      <c r="C760" s="65" t="s">
        <v>64</v>
      </c>
      <c r="D760" s="65" t="s">
        <v>1263</v>
      </c>
      <c r="E760" s="65" t="s">
        <v>1264</v>
      </c>
      <c r="F760" s="65">
        <v>8.907249201E9</v>
      </c>
      <c r="H760" s="65" t="s">
        <v>1265</v>
      </c>
      <c r="I760" s="65">
        <v>1500.0</v>
      </c>
    </row>
    <row r="761" ht="22.5" hidden="1" customHeight="1">
      <c r="A761" s="35">
        <v>46236.989923483794</v>
      </c>
      <c r="B761" s="64">
        <v>45571.0</v>
      </c>
      <c r="C761" s="65" t="s">
        <v>53</v>
      </c>
      <c r="D761" s="65" t="s">
        <v>1266</v>
      </c>
      <c r="F761" s="65">
        <v>9.746179379E9</v>
      </c>
      <c r="H761" s="65" t="s">
        <v>1267</v>
      </c>
      <c r="I761" s="65">
        <v>500.0</v>
      </c>
    </row>
    <row r="762" ht="22.5" hidden="1" customHeight="1">
      <c r="A762" s="35">
        <v>46236.990430439815</v>
      </c>
      <c r="B762" s="64">
        <v>45571.0</v>
      </c>
      <c r="C762" s="65" t="s">
        <v>50</v>
      </c>
      <c r="D762" s="31" t="s">
        <v>204</v>
      </c>
      <c r="F762" s="31">
        <v>9.7430216158E10</v>
      </c>
      <c r="H762" s="65" t="s">
        <v>1268</v>
      </c>
      <c r="I762" s="65">
        <v>1500.0</v>
      </c>
    </row>
    <row r="763" ht="22.5" hidden="1" customHeight="1">
      <c r="A763" s="35">
        <v>46236.99099839121</v>
      </c>
      <c r="B763" s="64">
        <v>45571.0</v>
      </c>
      <c r="C763" s="65" t="s">
        <v>50</v>
      </c>
      <c r="D763" s="65" t="s">
        <v>1269</v>
      </c>
      <c r="F763" s="65">
        <v>9.745156079E9</v>
      </c>
      <c r="H763" s="65" t="s">
        <v>1270</v>
      </c>
      <c r="I763" s="65">
        <v>6000.0</v>
      </c>
    </row>
    <row r="764" ht="22.5" hidden="1" customHeight="1">
      <c r="A764" s="35">
        <v>46236.99146489584</v>
      </c>
      <c r="B764" s="64">
        <v>45571.0</v>
      </c>
      <c r="C764" s="65" t="s">
        <v>50</v>
      </c>
      <c r="D764" s="65" t="s">
        <v>1271</v>
      </c>
      <c r="F764" s="65">
        <v>9.745156079E9</v>
      </c>
      <c r="H764" s="65" t="s">
        <v>1272</v>
      </c>
      <c r="I764" s="65">
        <v>4000.0</v>
      </c>
    </row>
    <row r="765" ht="22.5" hidden="1" customHeight="1">
      <c r="A765" s="35">
        <v>46236.99191806713</v>
      </c>
      <c r="B765" s="64">
        <v>45572.0</v>
      </c>
      <c r="C765" s="65" t="s">
        <v>50</v>
      </c>
      <c r="D765" s="65" t="s">
        <v>404</v>
      </c>
      <c r="F765" s="65">
        <v>9.846090598E9</v>
      </c>
      <c r="H765" s="65" t="s">
        <v>1273</v>
      </c>
      <c r="I765" s="65">
        <v>25000.0</v>
      </c>
    </row>
    <row r="766" ht="22.5" hidden="1" customHeight="1">
      <c r="A766" s="35">
        <v>46236.99236097222</v>
      </c>
      <c r="B766" s="64">
        <v>45573.0</v>
      </c>
      <c r="C766" s="65" t="s">
        <v>53</v>
      </c>
      <c r="D766" s="65" t="s">
        <v>1191</v>
      </c>
      <c r="F766" s="65">
        <v>9.400861531E9</v>
      </c>
      <c r="H766" s="65" t="s">
        <v>1274</v>
      </c>
      <c r="I766" s="65">
        <v>2000.0</v>
      </c>
    </row>
    <row r="767" ht="22.5" hidden="1" customHeight="1">
      <c r="A767" s="35">
        <v>46236.99298326389</v>
      </c>
      <c r="B767" s="64">
        <v>45577.0</v>
      </c>
      <c r="C767" s="65" t="s">
        <v>53</v>
      </c>
      <c r="D767" s="65" t="s">
        <v>1275</v>
      </c>
      <c r="F767" s="65">
        <v>9.539240091E9</v>
      </c>
      <c r="H767" s="65" t="s">
        <v>1276</v>
      </c>
      <c r="I767" s="65">
        <v>10000.0</v>
      </c>
    </row>
    <row r="768" ht="22.5" hidden="1" customHeight="1">
      <c r="A768" s="35">
        <v>46236.99341645833</v>
      </c>
      <c r="B768" s="64">
        <v>45578.0</v>
      </c>
      <c r="C768" s="65" t="s">
        <v>53</v>
      </c>
      <c r="D768" s="29" t="s">
        <v>57</v>
      </c>
      <c r="F768" s="31">
        <v>8.943021829E9</v>
      </c>
      <c r="H768" s="65" t="s">
        <v>1277</v>
      </c>
      <c r="I768" s="65">
        <v>2000.0</v>
      </c>
    </row>
    <row r="769" ht="22.5" hidden="1" customHeight="1">
      <c r="A769" s="35">
        <v>46236.99394613426</v>
      </c>
      <c r="B769" s="64">
        <v>45582.0</v>
      </c>
      <c r="C769" s="65" t="s">
        <v>53</v>
      </c>
      <c r="D769" s="65" t="s">
        <v>1278</v>
      </c>
      <c r="F769" s="65">
        <v>9.778727235E9</v>
      </c>
      <c r="H769" s="65" t="s">
        <v>1279</v>
      </c>
      <c r="I769" s="65">
        <v>5000.0</v>
      </c>
    </row>
    <row r="770" ht="22.5" hidden="1" customHeight="1">
      <c r="A770" s="35">
        <v>46236.99436625</v>
      </c>
      <c r="B770" s="64">
        <v>45586.0</v>
      </c>
      <c r="C770" s="65" t="s">
        <v>53</v>
      </c>
      <c r="D770" s="65" t="s">
        <v>1280</v>
      </c>
      <c r="F770" s="65">
        <v>9.446505447E9</v>
      </c>
      <c r="H770" s="65" t="s">
        <v>1281</v>
      </c>
      <c r="I770" s="65">
        <v>5000.0</v>
      </c>
    </row>
    <row r="771" ht="22.5" hidden="1" customHeight="1">
      <c r="A771" s="35">
        <v>46236.99484167824</v>
      </c>
      <c r="B771" s="64">
        <v>45590.0</v>
      </c>
      <c r="C771" s="65" t="s">
        <v>53</v>
      </c>
      <c r="D771" s="65" t="s">
        <v>1282</v>
      </c>
      <c r="F771" s="65">
        <v>9.656811788E9</v>
      </c>
      <c r="H771" s="65" t="s">
        <v>1283</v>
      </c>
      <c r="I771" s="65">
        <v>25000.0</v>
      </c>
    </row>
    <row r="772" ht="22.5" hidden="1" customHeight="1">
      <c r="A772" s="35">
        <v>46236.99537896991</v>
      </c>
      <c r="B772" s="64">
        <v>45595.0</v>
      </c>
      <c r="C772" s="65" t="s">
        <v>53</v>
      </c>
      <c r="D772" s="33" t="s">
        <v>68</v>
      </c>
      <c r="F772" s="31">
        <v>9.847880118E9</v>
      </c>
      <c r="H772" s="65" t="s">
        <v>1284</v>
      </c>
      <c r="I772" s="65">
        <v>2500.0</v>
      </c>
    </row>
    <row r="773" ht="22.5" hidden="1" customHeight="1">
      <c r="A773" s="35">
        <v>46236.995766215274</v>
      </c>
      <c r="B773" s="64">
        <v>45595.0</v>
      </c>
      <c r="C773" s="65" t="s">
        <v>53</v>
      </c>
      <c r="D773" s="65" t="s">
        <v>169</v>
      </c>
      <c r="F773" s="65">
        <v>9.207339557E9</v>
      </c>
      <c r="H773" s="65" t="s">
        <v>1285</v>
      </c>
      <c r="I773" s="65">
        <v>5000.0</v>
      </c>
    </row>
    <row r="774" ht="22.5" hidden="1" customHeight="1">
      <c r="A774" s="35">
        <v>46236.99700293981</v>
      </c>
      <c r="B774" s="64">
        <v>45596.0</v>
      </c>
      <c r="C774" s="65" t="s">
        <v>50</v>
      </c>
      <c r="D774" s="65" t="s">
        <v>1286</v>
      </c>
      <c r="F774" s="65">
        <v>8.547775577E9</v>
      </c>
      <c r="H774" s="65" t="s">
        <v>1287</v>
      </c>
      <c r="I774" s="65">
        <v>5000.0</v>
      </c>
    </row>
    <row r="775" ht="22.5" hidden="1" customHeight="1">
      <c r="A775" s="35">
        <v>46236.99947966435</v>
      </c>
      <c r="B775" s="64">
        <v>45597.0</v>
      </c>
      <c r="C775" s="65" t="s">
        <v>53</v>
      </c>
      <c r="D775" s="31" t="s">
        <v>59</v>
      </c>
      <c r="F775" s="31">
        <v>8.606781572E9</v>
      </c>
      <c r="H775" s="65" t="s">
        <v>1288</v>
      </c>
      <c r="I775" s="65">
        <v>2500.0</v>
      </c>
    </row>
    <row r="776" ht="22.5" hidden="1" customHeight="1">
      <c r="A776" s="35">
        <v>46236.99993791667</v>
      </c>
      <c r="B776" s="64">
        <v>45597.0</v>
      </c>
      <c r="C776" s="65" t="s">
        <v>50</v>
      </c>
      <c r="D776" s="31" t="s">
        <v>204</v>
      </c>
      <c r="F776" s="31">
        <v>9.7430216158E10</v>
      </c>
      <c r="H776" s="65" t="s">
        <v>1289</v>
      </c>
      <c r="I776" s="65">
        <v>2000.0</v>
      </c>
    </row>
    <row r="777" ht="22.5" hidden="1" customHeight="1">
      <c r="A777" s="35">
        <v>46237.00080046296</v>
      </c>
      <c r="B777" s="64">
        <v>45598.0</v>
      </c>
      <c r="C777" s="65" t="s">
        <v>64</v>
      </c>
      <c r="D777" s="65" t="s">
        <v>1290</v>
      </c>
      <c r="F777" s="65">
        <v>7.592043616E9</v>
      </c>
      <c r="H777" s="65" t="s">
        <v>1291</v>
      </c>
      <c r="I777" s="65">
        <v>25000.0</v>
      </c>
    </row>
    <row r="778" ht="22.5" hidden="1" customHeight="1">
      <c r="A778" s="35">
        <v>46237.00150290509</v>
      </c>
      <c r="B778" s="64">
        <v>45598.0</v>
      </c>
      <c r="C778" s="65" t="s">
        <v>53</v>
      </c>
      <c r="D778" s="65" t="s">
        <v>349</v>
      </c>
      <c r="F778" s="65">
        <v>6.235536872E9</v>
      </c>
      <c r="H778" s="65" t="s">
        <v>1292</v>
      </c>
      <c r="I778" s="65">
        <v>2850.0</v>
      </c>
    </row>
    <row r="779" ht="22.5" hidden="1" customHeight="1">
      <c r="A779" s="35">
        <v>46237.001965902775</v>
      </c>
      <c r="B779" s="64">
        <v>45598.0</v>
      </c>
      <c r="C779" s="65" t="s">
        <v>53</v>
      </c>
      <c r="D779" s="33" t="s">
        <v>68</v>
      </c>
      <c r="F779" s="31">
        <v>9.847880118E9</v>
      </c>
      <c r="H779" s="65" t="s">
        <v>1293</v>
      </c>
      <c r="I779" s="65">
        <v>2500.0</v>
      </c>
    </row>
    <row r="780" ht="22.5" hidden="1" customHeight="1">
      <c r="A780" s="35">
        <v>46237.002325497684</v>
      </c>
      <c r="B780" s="64">
        <v>45598.0</v>
      </c>
      <c r="C780" s="65" t="s">
        <v>53</v>
      </c>
      <c r="D780" s="31" t="s">
        <v>54</v>
      </c>
      <c r="F780" s="31">
        <v>9.995598693E9</v>
      </c>
      <c r="H780" s="65" t="s">
        <v>1294</v>
      </c>
      <c r="I780" s="65">
        <v>10500.0</v>
      </c>
    </row>
    <row r="781" ht="22.5" hidden="1" customHeight="1">
      <c r="A781" s="35">
        <v>46237.00264818287</v>
      </c>
      <c r="B781" s="64">
        <v>45603.0</v>
      </c>
      <c r="C781" s="65" t="s">
        <v>53</v>
      </c>
      <c r="D781" s="65" t="s">
        <v>1191</v>
      </c>
      <c r="F781" s="65">
        <v>9.400861531E9</v>
      </c>
      <c r="H781" s="65" t="s">
        <v>1295</v>
      </c>
      <c r="I781" s="65">
        <v>2000.0</v>
      </c>
    </row>
    <row r="782" ht="22.5" hidden="1" customHeight="1">
      <c r="A782" s="35">
        <v>46237.00314547453</v>
      </c>
      <c r="B782" s="64">
        <v>45610.0</v>
      </c>
      <c r="C782" s="65" t="s">
        <v>53</v>
      </c>
      <c r="D782" s="29" t="s">
        <v>57</v>
      </c>
      <c r="F782" s="31">
        <v>8.943021829E9</v>
      </c>
      <c r="H782" s="65" t="s">
        <v>1296</v>
      </c>
      <c r="I782" s="65">
        <v>2000.0</v>
      </c>
    </row>
    <row r="783" ht="22.5" hidden="1" customHeight="1">
      <c r="A783" s="35">
        <v>46237.00363832176</v>
      </c>
      <c r="B783" s="64">
        <v>45610.0</v>
      </c>
      <c r="C783" s="65" t="s">
        <v>53</v>
      </c>
      <c r="D783" s="65" t="s">
        <v>1297</v>
      </c>
      <c r="F783" s="65">
        <v>9.961687759E9</v>
      </c>
      <c r="H783" s="65" t="s">
        <v>1298</v>
      </c>
      <c r="I783" s="65">
        <v>5000.0</v>
      </c>
    </row>
    <row r="784" ht="22.5" hidden="1" customHeight="1">
      <c r="A784" s="35">
        <v>46237.0042009375</v>
      </c>
      <c r="B784" s="64">
        <v>45610.0</v>
      </c>
      <c r="C784" s="65" t="s">
        <v>50</v>
      </c>
      <c r="D784" s="65" t="s">
        <v>1299</v>
      </c>
      <c r="F784" s="65">
        <v>9.961060899E9</v>
      </c>
      <c r="H784" s="65" t="s">
        <v>1300</v>
      </c>
      <c r="I784" s="65">
        <v>7000.0</v>
      </c>
    </row>
    <row r="785" ht="22.5" hidden="1" customHeight="1">
      <c r="A785" s="35">
        <v>46237.00463033565</v>
      </c>
      <c r="B785" s="64">
        <v>45612.0</v>
      </c>
      <c r="C785" s="65" t="s">
        <v>50</v>
      </c>
      <c r="D785" s="65" t="s">
        <v>349</v>
      </c>
      <c r="F785" s="65">
        <v>6.235536872E9</v>
      </c>
      <c r="H785" s="65" t="s">
        <v>1301</v>
      </c>
      <c r="I785" s="65">
        <v>2200.0</v>
      </c>
    </row>
    <row r="786" ht="22.5" hidden="1" customHeight="1">
      <c r="A786" s="35">
        <v>46237.00571164352</v>
      </c>
      <c r="B786" s="64">
        <v>45620.0</v>
      </c>
      <c r="C786" s="65" t="s">
        <v>64</v>
      </c>
      <c r="D786" s="65" t="s">
        <v>1215</v>
      </c>
      <c r="E786" s="65" t="s">
        <v>913</v>
      </c>
      <c r="F786" s="65">
        <v>9.605467158E9</v>
      </c>
      <c r="H786" s="65" t="s">
        <v>1302</v>
      </c>
      <c r="I786" s="65">
        <v>12000.0</v>
      </c>
    </row>
    <row r="787" ht="22.5" hidden="1" customHeight="1">
      <c r="A787" s="35">
        <v>46237.00620607639</v>
      </c>
      <c r="B787" s="64">
        <v>45622.0</v>
      </c>
      <c r="C787" s="65" t="s">
        <v>64</v>
      </c>
      <c r="D787" s="65" t="s">
        <v>1303</v>
      </c>
      <c r="F787" s="65">
        <v>8.943177777E9</v>
      </c>
      <c r="H787" s="65" t="s">
        <v>1304</v>
      </c>
      <c r="I787" s="65">
        <v>5000.0</v>
      </c>
    </row>
    <row r="788" ht="22.5" hidden="1" customHeight="1">
      <c r="A788" s="35">
        <v>46237.00665971065</v>
      </c>
      <c r="B788" s="64">
        <v>45622.0</v>
      </c>
      <c r="C788" s="65" t="s">
        <v>64</v>
      </c>
      <c r="D788" s="65" t="s">
        <v>1303</v>
      </c>
      <c r="F788" s="65">
        <v>8.943977777E9</v>
      </c>
      <c r="H788" s="65" t="s">
        <v>1305</v>
      </c>
      <c r="I788" s="65">
        <v>5000.0</v>
      </c>
    </row>
    <row r="789" ht="22.5" hidden="1" customHeight="1">
      <c r="A789" s="35">
        <v>46237.00702497685</v>
      </c>
      <c r="B789" s="64">
        <v>45623.0</v>
      </c>
      <c r="C789" s="65" t="s">
        <v>53</v>
      </c>
      <c r="D789" s="33" t="s">
        <v>68</v>
      </c>
      <c r="F789" s="31">
        <v>9.847880118E9</v>
      </c>
      <c r="H789" s="65" t="s">
        <v>1306</v>
      </c>
      <c r="I789" s="65">
        <v>2500.0</v>
      </c>
    </row>
    <row r="790" ht="22.5" hidden="1" customHeight="1">
      <c r="A790" s="35">
        <v>46237.008433518524</v>
      </c>
      <c r="B790" s="64">
        <v>45627.0</v>
      </c>
      <c r="C790" s="65" t="s">
        <v>53</v>
      </c>
      <c r="D790" s="65" t="s">
        <v>1307</v>
      </c>
      <c r="F790" s="65">
        <v>8.3018138E9</v>
      </c>
      <c r="H790" s="65" t="s">
        <v>1308</v>
      </c>
      <c r="I790" s="65">
        <v>30000.0</v>
      </c>
    </row>
    <row r="791" ht="22.5" hidden="1" customHeight="1">
      <c r="A791" s="35">
        <v>46237.00879317129</v>
      </c>
      <c r="B791" s="64">
        <v>45628.0</v>
      </c>
      <c r="C791" s="65" t="s">
        <v>53</v>
      </c>
      <c r="D791" s="31" t="s">
        <v>59</v>
      </c>
      <c r="F791" s="31">
        <v>8.606781572E9</v>
      </c>
      <c r="H791" s="65" t="s">
        <v>1309</v>
      </c>
      <c r="I791" s="65">
        <v>2500.0</v>
      </c>
    </row>
    <row r="792" ht="22.5" hidden="1" customHeight="1">
      <c r="A792" s="35">
        <v>46237.009171412035</v>
      </c>
      <c r="B792" s="64">
        <v>45628.0</v>
      </c>
      <c r="C792" s="65" t="s">
        <v>50</v>
      </c>
      <c r="D792" s="65" t="s">
        <v>349</v>
      </c>
      <c r="F792" s="65">
        <v>6.235536872E9</v>
      </c>
      <c r="H792" s="65" t="s">
        <v>1310</v>
      </c>
      <c r="I792" s="65">
        <v>3200.0</v>
      </c>
    </row>
    <row r="793" ht="22.5" hidden="1" customHeight="1">
      <c r="A793" s="35">
        <v>46237.00960282407</v>
      </c>
      <c r="B793" s="64">
        <v>45629.0</v>
      </c>
      <c r="C793" s="65" t="s">
        <v>53</v>
      </c>
      <c r="D793" s="31" t="s">
        <v>54</v>
      </c>
      <c r="F793" s="31">
        <v>9.995598693E9</v>
      </c>
      <c r="H793" s="65" t="s">
        <v>1311</v>
      </c>
      <c r="I793" s="65">
        <v>10500.0</v>
      </c>
    </row>
    <row r="794" ht="22.5" hidden="1" customHeight="1">
      <c r="A794" s="35">
        <v>46237.01000034722</v>
      </c>
      <c r="B794" s="64">
        <v>45633.0</v>
      </c>
      <c r="C794" s="65" t="s">
        <v>53</v>
      </c>
      <c r="D794" s="65" t="s">
        <v>1073</v>
      </c>
      <c r="F794" s="65">
        <v>9.71558785313E11</v>
      </c>
      <c r="H794" s="65" t="s">
        <v>1312</v>
      </c>
      <c r="I794" s="65">
        <v>5000.0</v>
      </c>
    </row>
    <row r="795" ht="22.5" hidden="1" customHeight="1">
      <c r="A795" s="35">
        <v>46237.010359803244</v>
      </c>
      <c r="B795" s="64">
        <v>45634.0</v>
      </c>
      <c r="C795" s="65" t="s">
        <v>53</v>
      </c>
      <c r="D795" s="65" t="s">
        <v>1191</v>
      </c>
      <c r="F795" s="65">
        <v>9.400861531E9</v>
      </c>
      <c r="H795" s="65" t="s">
        <v>1313</v>
      </c>
      <c r="I795" s="65">
        <v>2000.0</v>
      </c>
    </row>
    <row r="796" ht="22.5" hidden="1" customHeight="1">
      <c r="A796" s="35">
        <v>46237.01075594907</v>
      </c>
      <c r="B796" s="64">
        <v>45635.0</v>
      </c>
      <c r="C796" s="65" t="s">
        <v>53</v>
      </c>
      <c r="D796" s="29" t="s">
        <v>57</v>
      </c>
      <c r="F796" s="31">
        <v>8.943021829E9</v>
      </c>
      <c r="H796" s="65" t="s">
        <v>1314</v>
      </c>
      <c r="I796" s="65">
        <v>2000.0</v>
      </c>
    </row>
    <row r="797" ht="22.5" hidden="1" customHeight="1">
      <c r="A797" s="35">
        <v>46237.0113366088</v>
      </c>
      <c r="B797" s="64">
        <v>45637.0</v>
      </c>
      <c r="C797" s="65" t="s">
        <v>53</v>
      </c>
      <c r="D797" s="65" t="s">
        <v>1315</v>
      </c>
      <c r="F797" s="65">
        <v>9.447515926E9</v>
      </c>
      <c r="H797" s="65" t="s">
        <v>1316</v>
      </c>
      <c r="I797" s="65">
        <v>2000.0</v>
      </c>
    </row>
    <row r="798" ht="22.5" hidden="1" customHeight="1">
      <c r="A798" s="35">
        <v>46237.01198924769</v>
      </c>
      <c r="B798" s="64">
        <v>45639.0</v>
      </c>
      <c r="C798" s="65" t="s">
        <v>64</v>
      </c>
      <c r="D798" s="65" t="s">
        <v>1317</v>
      </c>
      <c r="F798" s="65">
        <v>9.048721286E9</v>
      </c>
      <c r="H798" s="65" t="s">
        <v>1318</v>
      </c>
      <c r="I798" s="65">
        <v>20000.0</v>
      </c>
    </row>
    <row r="799" ht="22.5" hidden="1" customHeight="1">
      <c r="A799" s="35">
        <v>46237.01261878472</v>
      </c>
      <c r="B799" s="64">
        <v>45639.0</v>
      </c>
      <c r="C799" s="65" t="s">
        <v>64</v>
      </c>
      <c r="D799" s="65" t="s">
        <v>1317</v>
      </c>
      <c r="F799" s="65">
        <v>9.048721286E9</v>
      </c>
      <c r="H799" s="65" t="s">
        <v>1319</v>
      </c>
      <c r="I799" s="65">
        <v>5000.0</v>
      </c>
    </row>
    <row r="800" ht="22.5" hidden="1" customHeight="1">
      <c r="A800" s="35">
        <v>46237.01329783565</v>
      </c>
      <c r="B800" s="64">
        <v>45641.0</v>
      </c>
      <c r="C800" s="65" t="s">
        <v>53</v>
      </c>
      <c r="D800" s="65" t="s">
        <v>1320</v>
      </c>
      <c r="F800" s="65">
        <v>7.736900944E9</v>
      </c>
      <c r="G800" s="65">
        <v>8.943177777E9</v>
      </c>
      <c r="H800" s="65" t="s">
        <v>1321</v>
      </c>
      <c r="I800" s="65">
        <v>10000.0</v>
      </c>
    </row>
    <row r="801" ht="22.5" hidden="1" customHeight="1">
      <c r="A801" s="35">
        <v>46237.01374577546</v>
      </c>
      <c r="B801" s="64">
        <v>45643.0</v>
      </c>
      <c r="C801" s="65" t="s">
        <v>64</v>
      </c>
      <c r="D801" s="65" t="s">
        <v>452</v>
      </c>
      <c r="F801" s="65">
        <v>9.89527027E9</v>
      </c>
      <c r="H801" s="65" t="s">
        <v>1322</v>
      </c>
      <c r="I801" s="65">
        <v>2500.0</v>
      </c>
    </row>
    <row r="802" ht="22.5" hidden="1" customHeight="1">
      <c r="A802" s="35">
        <v>46237.01447017361</v>
      </c>
      <c r="B802" s="64">
        <v>45646.0</v>
      </c>
      <c r="C802" s="65" t="s">
        <v>53</v>
      </c>
      <c r="D802" s="65" t="s">
        <v>1323</v>
      </c>
      <c r="F802" s="65">
        <v>9.961687759E9</v>
      </c>
      <c r="H802" s="65" t="s">
        <v>1324</v>
      </c>
      <c r="I802" s="65">
        <v>5000.0</v>
      </c>
    </row>
    <row r="803" ht="22.5" hidden="1" customHeight="1">
      <c r="A803" s="35">
        <v>46237.01518836805</v>
      </c>
      <c r="B803" s="64">
        <v>45650.0</v>
      </c>
      <c r="C803" s="65" t="s">
        <v>53</v>
      </c>
      <c r="D803" s="65" t="s">
        <v>1073</v>
      </c>
      <c r="F803" s="65">
        <v>9.71558785313E11</v>
      </c>
      <c r="H803" s="65" t="s">
        <v>1325</v>
      </c>
      <c r="I803" s="65">
        <v>5000.0</v>
      </c>
    </row>
    <row r="804" ht="22.5" hidden="1" customHeight="1">
      <c r="A804" s="35">
        <v>46237.01561947916</v>
      </c>
      <c r="B804" s="64">
        <v>45652.0</v>
      </c>
      <c r="C804" s="65" t="s">
        <v>50</v>
      </c>
      <c r="D804" s="65" t="s">
        <v>1326</v>
      </c>
      <c r="F804" s="65">
        <v>9.605772727E9</v>
      </c>
      <c r="H804" s="65" t="s">
        <v>1327</v>
      </c>
      <c r="I804" s="65">
        <v>4000.0</v>
      </c>
    </row>
    <row r="805" ht="22.5" hidden="1" customHeight="1">
      <c r="A805" s="35">
        <v>46237.01688686342</v>
      </c>
      <c r="B805" s="64">
        <v>45656.0</v>
      </c>
      <c r="C805" s="65" t="s">
        <v>53</v>
      </c>
      <c r="D805" s="33" t="s">
        <v>68</v>
      </c>
      <c r="F805" s="31">
        <v>9.847880118E9</v>
      </c>
      <c r="H805" s="65" t="s">
        <v>1328</v>
      </c>
      <c r="I805" s="65">
        <v>2500.0</v>
      </c>
    </row>
    <row r="806" ht="22.5" hidden="1" customHeight="1">
      <c r="A806" s="35">
        <v>46237.01893236111</v>
      </c>
      <c r="B806" s="64">
        <v>45658.0</v>
      </c>
      <c r="C806" s="65" t="s">
        <v>53</v>
      </c>
      <c r="D806" s="31" t="s">
        <v>59</v>
      </c>
      <c r="F806" s="31">
        <v>8.606781572E9</v>
      </c>
      <c r="H806" s="65" t="s">
        <v>1329</v>
      </c>
      <c r="I806" s="65">
        <v>2500.0</v>
      </c>
    </row>
    <row r="807" ht="22.5" hidden="1" customHeight="1">
      <c r="A807" s="35">
        <v>46237.01954753472</v>
      </c>
      <c r="B807" s="64">
        <v>45659.0</v>
      </c>
      <c r="C807" s="65" t="s">
        <v>50</v>
      </c>
      <c r="D807" s="31" t="s">
        <v>204</v>
      </c>
      <c r="F807" s="31">
        <v>9.7430216158E10</v>
      </c>
      <c r="H807" s="65" t="s">
        <v>1330</v>
      </c>
      <c r="I807" s="65">
        <v>2000.0</v>
      </c>
    </row>
    <row r="808" ht="22.5" hidden="1" customHeight="1">
      <c r="A808" s="35">
        <v>46237.02379114583</v>
      </c>
      <c r="B808" s="64">
        <v>45660.0</v>
      </c>
      <c r="C808" s="65" t="s">
        <v>64</v>
      </c>
      <c r="D808" s="65" t="s">
        <v>1331</v>
      </c>
      <c r="F808" s="65">
        <v>9.526711844E9</v>
      </c>
      <c r="H808" s="65" t="s">
        <v>1332</v>
      </c>
      <c r="I808" s="65">
        <v>12000.0</v>
      </c>
    </row>
    <row r="809" ht="22.5" hidden="1" customHeight="1">
      <c r="A809" s="35">
        <v>46237.024233206015</v>
      </c>
      <c r="B809" s="64">
        <v>45660.0</v>
      </c>
      <c r="C809" s="65" t="s">
        <v>50</v>
      </c>
      <c r="D809" s="65" t="s">
        <v>349</v>
      </c>
      <c r="F809" s="65">
        <v>6.235536872E9</v>
      </c>
      <c r="H809" s="65" t="s">
        <v>1333</v>
      </c>
      <c r="I809" s="65">
        <v>2600.0</v>
      </c>
    </row>
    <row r="810" ht="22.5" hidden="1" customHeight="1">
      <c r="A810" s="35">
        <v>46237.024683055555</v>
      </c>
      <c r="B810" s="64">
        <v>45660.0</v>
      </c>
      <c r="C810" s="65" t="s">
        <v>53</v>
      </c>
      <c r="D810" s="31" t="s">
        <v>54</v>
      </c>
      <c r="F810" s="31">
        <v>9.995598693E9</v>
      </c>
      <c r="H810" s="65" t="s">
        <v>1334</v>
      </c>
      <c r="I810" s="65">
        <v>10500.0</v>
      </c>
    </row>
    <row r="811" ht="22.5" hidden="1" customHeight="1">
      <c r="A811" s="35">
        <v>46237.02512342593</v>
      </c>
      <c r="B811" s="64">
        <v>45663.0</v>
      </c>
      <c r="C811" s="65" t="s">
        <v>50</v>
      </c>
      <c r="D811" s="65" t="s">
        <v>1335</v>
      </c>
      <c r="F811" s="65">
        <v>8.547775577E9</v>
      </c>
      <c r="H811" s="65" t="s">
        <v>1336</v>
      </c>
      <c r="I811" s="65">
        <v>5000.0</v>
      </c>
    </row>
    <row r="812" ht="22.5" hidden="1" customHeight="1">
      <c r="A812" s="35">
        <v>46237.02598821759</v>
      </c>
      <c r="B812" s="64">
        <v>45664.0</v>
      </c>
      <c r="C812" s="65" t="s">
        <v>53</v>
      </c>
      <c r="D812" s="65" t="s">
        <v>1191</v>
      </c>
      <c r="F812" s="65">
        <v>9.400861531E9</v>
      </c>
      <c r="H812" s="65" t="s">
        <v>1337</v>
      </c>
      <c r="I812" s="65">
        <v>2000.0</v>
      </c>
    </row>
    <row r="813" ht="22.5" hidden="1" customHeight="1">
      <c r="A813" s="35">
        <v>46237.027534050925</v>
      </c>
      <c r="B813" s="64">
        <v>45664.0</v>
      </c>
      <c r="C813" s="65" t="s">
        <v>53</v>
      </c>
      <c r="D813" s="29" t="s">
        <v>57</v>
      </c>
      <c r="F813" s="31">
        <v>8.943021829E9</v>
      </c>
      <c r="H813" s="65" t="s">
        <v>1338</v>
      </c>
      <c r="I813" s="65">
        <v>2000.0</v>
      </c>
    </row>
    <row r="814" ht="22.5" hidden="1" customHeight="1">
      <c r="A814" s="35">
        <v>46237.02819167824</v>
      </c>
      <c r="B814" s="64">
        <v>45670.0</v>
      </c>
      <c r="C814" s="65" t="s">
        <v>64</v>
      </c>
      <c r="D814" s="65" t="s">
        <v>1339</v>
      </c>
      <c r="F814" s="65">
        <v>8.156827243E9</v>
      </c>
      <c r="H814" s="65" t="s">
        <v>1340</v>
      </c>
      <c r="I814" s="65">
        <v>15000.0</v>
      </c>
    </row>
    <row r="815" ht="22.5" hidden="1" customHeight="1">
      <c r="A815" s="35">
        <v>46237.06311876157</v>
      </c>
      <c r="B815" s="64">
        <v>45672.0</v>
      </c>
      <c r="C815" s="65" t="s">
        <v>64</v>
      </c>
      <c r="D815" s="65" t="s">
        <v>918</v>
      </c>
      <c r="E815" s="65" t="s">
        <v>478</v>
      </c>
      <c r="F815" s="65">
        <v>6.89586342E9</v>
      </c>
      <c r="H815" s="65" t="s">
        <v>1341</v>
      </c>
      <c r="I815" s="65">
        <v>4870.0</v>
      </c>
    </row>
    <row r="816" ht="22.5" hidden="1" customHeight="1">
      <c r="A816" s="35">
        <v>46237.065395972226</v>
      </c>
      <c r="B816" s="64">
        <v>45676.0</v>
      </c>
      <c r="C816" s="65" t="s">
        <v>53</v>
      </c>
      <c r="D816" s="65" t="s">
        <v>1342</v>
      </c>
      <c r="F816" s="65">
        <v>7.012015656E9</v>
      </c>
      <c r="H816" s="65" t="s">
        <v>1343</v>
      </c>
      <c r="I816" s="65">
        <v>10000.0</v>
      </c>
    </row>
    <row r="817" ht="22.5" hidden="1" customHeight="1">
      <c r="A817" s="35">
        <v>46237.06606142361</v>
      </c>
      <c r="B817" s="64">
        <v>45676.0</v>
      </c>
      <c r="C817" s="65" t="s">
        <v>53</v>
      </c>
      <c r="D817" s="65" t="s">
        <v>1344</v>
      </c>
      <c r="F817" s="65">
        <v>9.447853831E9</v>
      </c>
      <c r="H817" s="65" t="s">
        <v>1345</v>
      </c>
      <c r="I817" s="65">
        <v>30000.0</v>
      </c>
    </row>
    <row r="818" ht="22.5" hidden="1" customHeight="1">
      <c r="A818" s="35">
        <v>46237.066554791665</v>
      </c>
      <c r="B818" s="64">
        <v>45679.0</v>
      </c>
      <c r="C818" s="65" t="s">
        <v>50</v>
      </c>
      <c r="D818" s="65" t="s">
        <v>366</v>
      </c>
      <c r="F818" s="65">
        <v>9.605953571E9</v>
      </c>
      <c r="H818" s="65" t="s">
        <v>1346</v>
      </c>
      <c r="I818" s="65">
        <v>2534.0</v>
      </c>
    </row>
    <row r="819" ht="22.5" hidden="1" customHeight="1">
      <c r="A819" s="35">
        <v>46237.067057974535</v>
      </c>
      <c r="B819" s="64">
        <v>45681.0</v>
      </c>
      <c r="C819" s="65" t="s">
        <v>53</v>
      </c>
      <c r="D819" s="65" t="s">
        <v>1347</v>
      </c>
      <c r="F819" s="65">
        <v>7.736900944E9</v>
      </c>
      <c r="H819" s="65" t="s">
        <v>1348</v>
      </c>
      <c r="I819" s="65">
        <v>10000.0</v>
      </c>
    </row>
    <row r="820" ht="22.5" hidden="1" customHeight="1">
      <c r="A820" s="35">
        <v>46237.06749605324</v>
      </c>
      <c r="B820" s="64">
        <v>45684.0</v>
      </c>
      <c r="C820" s="65" t="s">
        <v>64</v>
      </c>
      <c r="D820" s="65" t="s">
        <v>968</v>
      </c>
      <c r="F820" s="65">
        <v>9.89527027E9</v>
      </c>
      <c r="H820" s="65" t="s">
        <v>1349</v>
      </c>
      <c r="I820" s="65">
        <v>2500.0</v>
      </c>
    </row>
    <row r="821" ht="22.5" hidden="1" customHeight="1">
      <c r="A821" s="35">
        <v>46237.067984375</v>
      </c>
      <c r="B821" s="64">
        <v>45685.0</v>
      </c>
      <c r="C821" s="65" t="s">
        <v>53</v>
      </c>
      <c r="D821" s="65" t="s">
        <v>1350</v>
      </c>
      <c r="F821" s="65">
        <v>9.567936102E9</v>
      </c>
      <c r="H821" s="65" t="s">
        <v>1351</v>
      </c>
      <c r="I821" s="65">
        <v>25000.0</v>
      </c>
    </row>
    <row r="822" ht="22.5" hidden="1" customHeight="1">
      <c r="A822" s="35">
        <v>46237.06836092593</v>
      </c>
      <c r="B822" s="64">
        <v>45687.0</v>
      </c>
      <c r="C822" s="65" t="s">
        <v>53</v>
      </c>
      <c r="D822" s="33" t="s">
        <v>68</v>
      </c>
      <c r="F822" s="31">
        <v>9.847880118E9</v>
      </c>
      <c r="H822" s="65" t="s">
        <v>1352</v>
      </c>
      <c r="I822" s="65">
        <v>2500.0</v>
      </c>
    </row>
    <row r="823" ht="22.5" hidden="1" customHeight="1">
      <c r="A823" s="35">
        <v>46237.57044643519</v>
      </c>
      <c r="B823" s="64">
        <v>45689.0</v>
      </c>
      <c r="C823" s="65" t="s">
        <v>53</v>
      </c>
      <c r="D823" s="31" t="s">
        <v>59</v>
      </c>
      <c r="F823" s="31">
        <v>8.606781572E9</v>
      </c>
      <c r="H823" s="65" t="s">
        <v>1353</v>
      </c>
      <c r="I823" s="65">
        <v>2500.0</v>
      </c>
    </row>
    <row r="824" ht="22.5" hidden="1" customHeight="1">
      <c r="A824" s="35">
        <v>46237.57091938658</v>
      </c>
      <c r="B824" s="64">
        <v>45690.0</v>
      </c>
      <c r="C824" s="65" t="s">
        <v>53</v>
      </c>
      <c r="D824" s="31" t="s">
        <v>54</v>
      </c>
      <c r="F824" s="31">
        <v>9.995598693E9</v>
      </c>
      <c r="H824" s="65" t="s">
        <v>1354</v>
      </c>
      <c r="I824" s="65">
        <v>10500.0</v>
      </c>
    </row>
    <row r="825" ht="22.5" hidden="1" customHeight="1">
      <c r="A825" s="35">
        <v>46237.5714734375</v>
      </c>
      <c r="B825" s="64">
        <v>45690.0</v>
      </c>
      <c r="C825" s="65" t="s">
        <v>50</v>
      </c>
      <c r="D825" s="65" t="s">
        <v>349</v>
      </c>
      <c r="F825" s="65">
        <v>6.235536872E9</v>
      </c>
      <c r="H825" s="65" t="s">
        <v>1355</v>
      </c>
      <c r="I825" s="65">
        <v>3000.0</v>
      </c>
    </row>
    <row r="826" ht="22.5" hidden="1" customHeight="1">
      <c r="A826" s="35">
        <v>46237.57183987269</v>
      </c>
      <c r="B826" s="64">
        <v>45691.0</v>
      </c>
      <c r="C826" s="65" t="s">
        <v>53</v>
      </c>
      <c r="D826" s="65" t="s">
        <v>1356</v>
      </c>
      <c r="F826" s="65">
        <v>9.400861531E9</v>
      </c>
      <c r="H826" s="65" t="s">
        <v>1357</v>
      </c>
      <c r="I826" s="65">
        <v>2000.0</v>
      </c>
    </row>
    <row r="827" ht="22.5" hidden="1" customHeight="1">
      <c r="A827" s="35">
        <v>46237.572515266205</v>
      </c>
      <c r="B827" s="64">
        <v>45693.0</v>
      </c>
      <c r="C827" s="65" t="s">
        <v>53</v>
      </c>
      <c r="D827" s="65" t="s">
        <v>1097</v>
      </c>
      <c r="F827" s="65">
        <v>9.961529849E9</v>
      </c>
      <c r="H827" s="65" t="s">
        <v>1358</v>
      </c>
      <c r="I827" s="65">
        <v>15000.0</v>
      </c>
    </row>
    <row r="828" ht="22.5" hidden="1" customHeight="1">
      <c r="A828" s="35">
        <v>46237.57318168982</v>
      </c>
      <c r="B828" s="64">
        <v>45695.0</v>
      </c>
      <c r="C828" s="65" t="s">
        <v>53</v>
      </c>
      <c r="D828" s="29" t="s">
        <v>57</v>
      </c>
      <c r="F828" s="31">
        <v>8.943021829E9</v>
      </c>
      <c r="H828" s="65" t="s">
        <v>1359</v>
      </c>
      <c r="I828" s="65">
        <v>2000.0</v>
      </c>
    </row>
    <row r="829" ht="22.5" hidden="1" customHeight="1">
      <c r="A829" s="35">
        <v>46237.573632858795</v>
      </c>
      <c r="B829" s="64">
        <v>45700.0</v>
      </c>
      <c r="C829" s="65" t="s">
        <v>50</v>
      </c>
      <c r="D829" s="65" t="s">
        <v>1360</v>
      </c>
      <c r="F829" s="65">
        <v>9.605772727E9</v>
      </c>
      <c r="H829" s="65" t="s">
        <v>1361</v>
      </c>
      <c r="I829" s="65">
        <v>5000.0</v>
      </c>
    </row>
    <row r="830" ht="22.5" hidden="1" customHeight="1">
      <c r="A830" s="35">
        <v>46237.57402206019</v>
      </c>
      <c r="B830" s="64">
        <v>45702.0</v>
      </c>
      <c r="C830" s="65" t="s">
        <v>53</v>
      </c>
      <c r="D830" s="65" t="s">
        <v>1362</v>
      </c>
      <c r="F830" s="65">
        <v>7.022748995E9</v>
      </c>
      <c r="H830" s="65" t="s">
        <v>1363</v>
      </c>
      <c r="I830" s="65">
        <v>30000.0</v>
      </c>
    </row>
    <row r="831" ht="22.5" hidden="1" customHeight="1">
      <c r="A831" s="35">
        <v>46237.57458267361</v>
      </c>
      <c r="B831" s="64">
        <v>45702.0</v>
      </c>
      <c r="C831" s="65" t="s">
        <v>53</v>
      </c>
      <c r="D831" s="65" t="s">
        <v>1364</v>
      </c>
      <c r="F831" s="65">
        <v>7.022748995E9</v>
      </c>
      <c r="H831" s="65" t="s">
        <v>1365</v>
      </c>
      <c r="I831" s="65">
        <v>3000.0</v>
      </c>
    </row>
    <row r="832" ht="22.5" hidden="1" customHeight="1">
      <c r="A832" s="35">
        <v>46237.57495206018</v>
      </c>
      <c r="B832" s="64">
        <v>45703.0</v>
      </c>
      <c r="C832" s="65" t="s">
        <v>248</v>
      </c>
      <c r="D832" s="31" t="s">
        <v>204</v>
      </c>
      <c r="F832" s="31">
        <v>9.7430216158E10</v>
      </c>
      <c r="H832" s="65" t="s">
        <v>1366</v>
      </c>
      <c r="I832" s="65">
        <v>1000.0</v>
      </c>
    </row>
    <row r="833" ht="22.5" hidden="1" customHeight="1">
      <c r="A833" s="35">
        <v>46237.57544130787</v>
      </c>
      <c r="B833" s="64">
        <v>45704.0</v>
      </c>
      <c r="C833" s="65" t="s">
        <v>248</v>
      </c>
      <c r="D833" s="65" t="s">
        <v>1367</v>
      </c>
      <c r="F833" s="65">
        <v>9.846846806E9</v>
      </c>
      <c r="H833" s="65" t="s">
        <v>1368</v>
      </c>
      <c r="I833" s="65">
        <v>5000.0</v>
      </c>
    </row>
    <row r="834" ht="22.5" hidden="1" customHeight="1">
      <c r="A834" s="35">
        <v>46237.576017569445</v>
      </c>
      <c r="B834" s="64">
        <v>45708.0</v>
      </c>
      <c r="C834" s="65" t="s">
        <v>64</v>
      </c>
      <c r="D834" s="65" t="s">
        <v>1369</v>
      </c>
      <c r="E834" s="65" t="s">
        <v>478</v>
      </c>
      <c r="F834" s="65">
        <v>6.89586342E9</v>
      </c>
      <c r="H834" s="65" t="s">
        <v>1370</v>
      </c>
      <c r="I834" s="65">
        <v>2600.0</v>
      </c>
    </row>
    <row r="835" ht="22.5" hidden="1" customHeight="1">
      <c r="A835" s="35">
        <v>46237.576424259256</v>
      </c>
      <c r="B835" s="64">
        <v>45709.0</v>
      </c>
      <c r="C835" s="65" t="s">
        <v>53</v>
      </c>
      <c r="D835" s="65" t="s">
        <v>1371</v>
      </c>
      <c r="F835" s="65">
        <v>9.446505447E9</v>
      </c>
      <c r="H835" s="65" t="s">
        <v>1372</v>
      </c>
      <c r="I835" s="65">
        <v>22000.0</v>
      </c>
    </row>
    <row r="836" ht="22.5" hidden="1" customHeight="1">
      <c r="A836" s="35">
        <v>46237.57793561343</v>
      </c>
      <c r="B836" s="64">
        <v>45714.0</v>
      </c>
      <c r="C836" s="65" t="s">
        <v>64</v>
      </c>
      <c r="D836" s="65" t="s">
        <v>1373</v>
      </c>
      <c r="F836" s="65">
        <v>8.086657125E9</v>
      </c>
      <c r="H836" s="65" t="s">
        <v>1374</v>
      </c>
      <c r="I836" s="65">
        <v>25000.0</v>
      </c>
    </row>
    <row r="837" ht="22.5" hidden="1" customHeight="1">
      <c r="A837" s="35">
        <v>46237.57835866898</v>
      </c>
      <c r="B837" s="64">
        <v>45714.0</v>
      </c>
      <c r="C837" s="65" t="s">
        <v>64</v>
      </c>
      <c r="D837" s="65" t="s">
        <v>1375</v>
      </c>
      <c r="F837" s="65">
        <v>8.086657125E9</v>
      </c>
      <c r="H837" s="65" t="s">
        <v>1374</v>
      </c>
      <c r="I837" s="65">
        <v>10000.0</v>
      </c>
    </row>
    <row r="838" ht="22.5" hidden="1" customHeight="1">
      <c r="A838" s="35">
        <v>46237.57887030093</v>
      </c>
      <c r="B838" s="64">
        <v>45714.0</v>
      </c>
      <c r="C838" s="65" t="s">
        <v>64</v>
      </c>
      <c r="D838" s="65" t="s">
        <v>1376</v>
      </c>
      <c r="F838" s="65">
        <v>7.025580597E9</v>
      </c>
      <c r="H838" s="65" t="s">
        <v>1377</v>
      </c>
      <c r="I838" s="65">
        <v>25000.0</v>
      </c>
    </row>
    <row r="839" ht="22.5" hidden="1" customHeight="1">
      <c r="A839" s="35">
        <v>46237.57932300926</v>
      </c>
      <c r="B839" s="64">
        <v>45714.0</v>
      </c>
      <c r="C839" s="65" t="s">
        <v>64</v>
      </c>
      <c r="D839" s="65" t="s">
        <v>1378</v>
      </c>
      <c r="F839" s="65">
        <v>7.736900944E9</v>
      </c>
      <c r="G839" s="65">
        <v>8.943177777E9</v>
      </c>
      <c r="H839" s="65" t="s">
        <v>1379</v>
      </c>
      <c r="I839" s="65">
        <v>10000.0</v>
      </c>
    </row>
    <row r="840" ht="22.5" hidden="1" customHeight="1">
      <c r="A840" s="35">
        <v>46237.579810254625</v>
      </c>
      <c r="B840" s="64">
        <v>45717.0</v>
      </c>
      <c r="C840" s="65" t="s">
        <v>53</v>
      </c>
      <c r="D840" s="65" t="s">
        <v>1380</v>
      </c>
      <c r="F840" s="65">
        <v>8.848581332E9</v>
      </c>
      <c r="H840" s="65" t="s">
        <v>1381</v>
      </c>
      <c r="I840" s="65">
        <v>25000.0</v>
      </c>
    </row>
    <row r="841" ht="22.5" hidden="1" customHeight="1">
      <c r="A841" s="35">
        <v>46237.58014474537</v>
      </c>
      <c r="B841" s="64">
        <v>45717.0</v>
      </c>
      <c r="C841" s="65" t="s">
        <v>53</v>
      </c>
      <c r="D841" s="31" t="s">
        <v>54</v>
      </c>
      <c r="F841" s="31">
        <v>9.995598693E9</v>
      </c>
      <c r="H841" s="65" t="s">
        <v>1382</v>
      </c>
      <c r="I841" s="65">
        <v>10500.0</v>
      </c>
    </row>
    <row r="842" ht="22.5" hidden="1" customHeight="1">
      <c r="A842" s="35">
        <v>46237.580699976854</v>
      </c>
      <c r="B842" s="64">
        <v>45719.0</v>
      </c>
      <c r="C842" s="65" t="s">
        <v>50</v>
      </c>
      <c r="D842" s="65" t="s">
        <v>349</v>
      </c>
      <c r="F842" s="65">
        <v>6.235536872E9</v>
      </c>
      <c r="H842" s="65" t="s">
        <v>1383</v>
      </c>
      <c r="I842" s="65">
        <v>3000.0</v>
      </c>
    </row>
    <row r="843" ht="22.5" hidden="1" customHeight="1">
      <c r="A843" s="35">
        <v>46237.58104740741</v>
      </c>
      <c r="B843" s="64">
        <v>45719.0</v>
      </c>
      <c r="C843" s="65" t="s">
        <v>50</v>
      </c>
      <c r="D843" s="33" t="s">
        <v>68</v>
      </c>
      <c r="F843" s="31">
        <v>9.847880118E9</v>
      </c>
      <c r="H843" s="65" t="s">
        <v>1384</v>
      </c>
      <c r="I843" s="65">
        <v>2500.0</v>
      </c>
    </row>
    <row r="844" ht="22.5" hidden="1" customHeight="1">
      <c r="A844" s="35">
        <v>46237.581372465276</v>
      </c>
      <c r="B844" s="64">
        <v>45719.0</v>
      </c>
      <c r="C844" s="65" t="s">
        <v>53</v>
      </c>
      <c r="D844" s="31" t="s">
        <v>59</v>
      </c>
      <c r="F844" s="31">
        <v>8.606781572E9</v>
      </c>
      <c r="H844" s="65" t="s">
        <v>1385</v>
      </c>
      <c r="I844" s="65">
        <v>2500.0</v>
      </c>
    </row>
    <row r="845" ht="22.5" hidden="1" customHeight="1">
      <c r="A845" s="35">
        <v>46237.58185236111</v>
      </c>
      <c r="B845" s="64">
        <v>45719.0</v>
      </c>
      <c r="C845" s="65" t="s">
        <v>53</v>
      </c>
      <c r="D845" s="65" t="s">
        <v>1386</v>
      </c>
      <c r="F845" s="65" t="s">
        <v>1387</v>
      </c>
      <c r="G845" s="65">
        <v>7.560920501E9</v>
      </c>
      <c r="H845" s="65" t="s">
        <v>1388</v>
      </c>
      <c r="I845" s="65">
        <v>5000.0</v>
      </c>
    </row>
    <row r="846" ht="22.5" hidden="1" customHeight="1">
      <c r="A846" s="35">
        <v>46237.58218627315</v>
      </c>
      <c r="B846" s="64">
        <v>45721.0</v>
      </c>
      <c r="C846" s="65" t="s">
        <v>53</v>
      </c>
      <c r="D846" s="65" t="s">
        <v>1389</v>
      </c>
      <c r="F846" s="65">
        <v>9.400861531E9</v>
      </c>
      <c r="H846" s="65" t="s">
        <v>1390</v>
      </c>
      <c r="I846" s="65">
        <v>2000.0</v>
      </c>
    </row>
    <row r="847" ht="22.5" hidden="1" customHeight="1">
      <c r="A847" s="35">
        <v>46237.58256952546</v>
      </c>
      <c r="B847" s="64">
        <v>45722.0</v>
      </c>
      <c r="C847" s="65" t="s">
        <v>50</v>
      </c>
      <c r="D847" s="65" t="s">
        <v>1391</v>
      </c>
      <c r="F847" s="65">
        <v>9.605953571E9</v>
      </c>
      <c r="H847" s="65" t="s">
        <v>1392</v>
      </c>
      <c r="I847" s="65">
        <v>2534.0</v>
      </c>
    </row>
    <row r="848" ht="22.5" hidden="1" customHeight="1">
      <c r="A848" s="35">
        <v>46237.58299134259</v>
      </c>
      <c r="B848" s="64">
        <v>45724.0</v>
      </c>
      <c r="C848" s="65" t="s">
        <v>64</v>
      </c>
      <c r="D848" s="65" t="s">
        <v>1393</v>
      </c>
      <c r="F848" s="65">
        <v>8.129269458E9</v>
      </c>
      <c r="H848" s="65" t="s">
        <v>1394</v>
      </c>
      <c r="I848" s="65">
        <v>2000.0</v>
      </c>
    </row>
    <row r="849" ht="22.5" hidden="1" customHeight="1">
      <c r="A849" s="35">
        <v>46237.58341859953</v>
      </c>
      <c r="B849" s="64">
        <v>45724.0</v>
      </c>
      <c r="C849" s="65" t="s">
        <v>53</v>
      </c>
      <c r="D849" s="65" t="s">
        <v>1395</v>
      </c>
      <c r="F849" s="65">
        <v>9.847784075E9</v>
      </c>
      <c r="H849" s="65" t="s">
        <v>1396</v>
      </c>
      <c r="I849" s="65">
        <v>12500.0</v>
      </c>
    </row>
    <row r="850" ht="22.5" hidden="1" customHeight="1">
      <c r="A850" s="35">
        <v>46237.58410396991</v>
      </c>
      <c r="B850" s="64">
        <v>45724.0</v>
      </c>
      <c r="C850" s="65" t="s">
        <v>53</v>
      </c>
      <c r="D850" s="65" t="s">
        <v>1397</v>
      </c>
      <c r="F850" s="65">
        <v>9.65632165E9</v>
      </c>
      <c r="H850" s="65" t="s">
        <v>1398</v>
      </c>
      <c r="I850" s="65">
        <v>10000.0</v>
      </c>
    </row>
    <row r="851" ht="22.5" hidden="1" customHeight="1">
      <c r="A851" s="35">
        <v>46237.58710138889</v>
      </c>
      <c r="B851" s="64">
        <v>45724.0</v>
      </c>
      <c r="C851" s="65" t="s">
        <v>64</v>
      </c>
      <c r="D851" s="65" t="s">
        <v>1399</v>
      </c>
      <c r="F851" s="65">
        <v>9.633351681E9</v>
      </c>
      <c r="H851" s="65" t="s">
        <v>1400</v>
      </c>
      <c r="I851" s="65">
        <v>25000.0</v>
      </c>
    </row>
    <row r="852" ht="22.5" hidden="1" customHeight="1">
      <c r="A852" s="35">
        <v>46237.590284247686</v>
      </c>
      <c r="B852" s="64">
        <v>45724.0</v>
      </c>
      <c r="C852" s="65" t="s">
        <v>64</v>
      </c>
      <c r="D852" s="65" t="s">
        <v>1401</v>
      </c>
      <c r="E852" s="65" t="s">
        <v>981</v>
      </c>
      <c r="F852" s="65">
        <v>9.074367009E9</v>
      </c>
      <c r="H852" s="65" t="s">
        <v>1402</v>
      </c>
      <c r="I852" s="65">
        <v>30000.0</v>
      </c>
    </row>
    <row r="853" ht="22.5" hidden="1" customHeight="1">
      <c r="A853" s="35">
        <v>46237.59209568287</v>
      </c>
      <c r="B853" s="64">
        <v>45724.0</v>
      </c>
      <c r="C853" s="65" t="s">
        <v>64</v>
      </c>
      <c r="D853" s="65" t="s">
        <v>1397</v>
      </c>
      <c r="F853" s="65">
        <v>9.65632165E9</v>
      </c>
      <c r="H853" s="65" t="s">
        <v>1403</v>
      </c>
      <c r="I853" s="65">
        <v>5000.0</v>
      </c>
    </row>
    <row r="854" ht="22.5" hidden="1" customHeight="1">
      <c r="A854" s="35">
        <v>46237.5933868287</v>
      </c>
      <c r="B854" s="64">
        <v>45724.0</v>
      </c>
      <c r="C854" s="65" t="s">
        <v>64</v>
      </c>
      <c r="D854" s="65" t="s">
        <v>1404</v>
      </c>
      <c r="F854" s="65">
        <v>9.895208497E9</v>
      </c>
      <c r="G854" s="65">
        <v>7.907227891E9</v>
      </c>
      <c r="H854" s="65" t="s">
        <v>1403</v>
      </c>
      <c r="I854" s="65">
        <v>30000.0</v>
      </c>
    </row>
    <row r="855" ht="22.5" hidden="1" customHeight="1">
      <c r="A855" s="35">
        <v>46237.59550638889</v>
      </c>
      <c r="B855" s="64">
        <v>45724.0</v>
      </c>
      <c r="C855" s="65" t="s">
        <v>64</v>
      </c>
      <c r="D855" s="65" t="s">
        <v>1405</v>
      </c>
      <c r="F855" s="65">
        <v>9.496463117E9</v>
      </c>
      <c r="H855" s="65" t="s">
        <v>1406</v>
      </c>
      <c r="I855" s="65">
        <v>30000.0</v>
      </c>
    </row>
    <row r="856" ht="22.5" hidden="1" customHeight="1">
      <c r="A856" s="35">
        <v>46237.59636134259</v>
      </c>
      <c r="B856" s="64">
        <v>45724.0</v>
      </c>
      <c r="C856" s="65" t="s">
        <v>64</v>
      </c>
      <c r="D856" s="65" t="s">
        <v>1407</v>
      </c>
      <c r="F856" s="65">
        <v>8.907249201E9</v>
      </c>
      <c r="H856" s="65" t="s">
        <v>1408</v>
      </c>
      <c r="I856" s="65">
        <v>5000.0</v>
      </c>
    </row>
    <row r="857" ht="22.5" hidden="1" customHeight="1">
      <c r="A857" s="35">
        <v>46237.596761064815</v>
      </c>
      <c r="B857" s="64">
        <v>45725.0</v>
      </c>
      <c r="C857" s="65" t="s">
        <v>53</v>
      </c>
      <c r="D857" s="65" t="s">
        <v>1409</v>
      </c>
      <c r="F857" s="65">
        <v>9.94663296E9</v>
      </c>
      <c r="H857" s="65" t="s">
        <v>1410</v>
      </c>
      <c r="I857" s="65">
        <v>2000.0</v>
      </c>
    </row>
    <row r="858" ht="22.5" hidden="1" customHeight="1">
      <c r="A858" s="35">
        <v>46237.59713746527</v>
      </c>
      <c r="B858" s="64">
        <v>45727.0</v>
      </c>
      <c r="C858" s="65" t="s">
        <v>64</v>
      </c>
      <c r="D858" s="65" t="s">
        <v>1411</v>
      </c>
      <c r="F858" s="65">
        <v>9.605578559E9</v>
      </c>
      <c r="H858" s="65" t="s">
        <v>1412</v>
      </c>
      <c r="I858" s="65">
        <v>30000.0</v>
      </c>
    </row>
    <row r="859" ht="22.5" hidden="1" customHeight="1">
      <c r="A859" s="35">
        <v>46237.59758997685</v>
      </c>
      <c r="B859" s="64">
        <v>46092.0</v>
      </c>
      <c r="C859" s="65" t="s">
        <v>64</v>
      </c>
      <c r="D859" s="65" t="s">
        <v>1413</v>
      </c>
      <c r="F859" s="65">
        <v>9.89527027E9</v>
      </c>
      <c r="H859" s="65" t="s">
        <v>1414</v>
      </c>
      <c r="I859" s="65">
        <v>5000.0</v>
      </c>
    </row>
    <row r="860" ht="22.5" hidden="1" customHeight="1">
      <c r="A860" s="35">
        <v>46237.63967412037</v>
      </c>
      <c r="B860" s="64">
        <v>45729.0</v>
      </c>
      <c r="C860" s="65" t="s">
        <v>53</v>
      </c>
      <c r="D860" s="65" t="s">
        <v>1415</v>
      </c>
      <c r="F860" s="65">
        <v>7.022748995E9</v>
      </c>
      <c r="G860" s="65">
        <v>7.306184278E9</v>
      </c>
      <c r="H860" s="65" t="s">
        <v>1416</v>
      </c>
      <c r="I860" s="65">
        <v>5000.0</v>
      </c>
    </row>
    <row r="861" ht="22.5" hidden="1" customHeight="1">
      <c r="A861" s="35">
        <v>46237.640012407406</v>
      </c>
      <c r="B861" s="64">
        <v>45730.0</v>
      </c>
      <c r="C861" s="65" t="s">
        <v>50</v>
      </c>
      <c r="D861" s="65" t="s">
        <v>1417</v>
      </c>
      <c r="F861" s="65">
        <v>9.71554659009E11</v>
      </c>
      <c r="H861" s="65" t="s">
        <v>1418</v>
      </c>
      <c r="I861" s="65">
        <v>15000.0</v>
      </c>
    </row>
    <row r="862" ht="22.5" hidden="1" customHeight="1">
      <c r="A862" s="35">
        <v>46237.64046800926</v>
      </c>
      <c r="B862" s="64">
        <v>45731.0</v>
      </c>
      <c r="C862" s="65" t="s">
        <v>50</v>
      </c>
      <c r="D862" s="65" t="s">
        <v>1419</v>
      </c>
      <c r="F862" s="65">
        <v>9.400434593E9</v>
      </c>
      <c r="H862" s="65" t="s">
        <v>1420</v>
      </c>
      <c r="I862" s="65">
        <v>30000.0</v>
      </c>
    </row>
    <row r="863" ht="22.5" hidden="1" customHeight="1">
      <c r="A863" s="35">
        <v>46237.6410142824</v>
      </c>
      <c r="B863" s="64">
        <v>45731.0</v>
      </c>
      <c r="C863" s="65" t="s">
        <v>50</v>
      </c>
      <c r="D863" s="65" t="s">
        <v>1421</v>
      </c>
      <c r="F863" s="65">
        <v>9.400434593E9</v>
      </c>
      <c r="H863" s="65" t="s">
        <v>1420</v>
      </c>
      <c r="I863" s="65">
        <v>30000.0</v>
      </c>
    </row>
    <row r="864" ht="22.5" hidden="1" customHeight="1">
      <c r="A864" s="35">
        <v>46237.64146366898</v>
      </c>
      <c r="B864" s="64">
        <v>45731.0</v>
      </c>
      <c r="C864" s="65" t="s">
        <v>53</v>
      </c>
      <c r="D864" s="65" t="s">
        <v>1422</v>
      </c>
      <c r="F864" s="65">
        <v>9.961529849E9</v>
      </c>
      <c r="H864" s="65" t="s">
        <v>1423</v>
      </c>
      <c r="I864" s="65">
        <v>10000.0</v>
      </c>
    </row>
    <row r="865" ht="22.5" hidden="1" customHeight="1">
      <c r="A865" s="35">
        <v>46237.641945104166</v>
      </c>
      <c r="B865" s="64">
        <v>45732.0</v>
      </c>
      <c r="C865" s="65" t="s">
        <v>64</v>
      </c>
      <c r="D865" s="65" t="s">
        <v>1424</v>
      </c>
      <c r="F865" s="65">
        <v>9.061665299E9</v>
      </c>
      <c r="H865" s="65" t="s">
        <v>1425</v>
      </c>
      <c r="I865" s="65">
        <v>5000.0</v>
      </c>
    </row>
    <row r="866" ht="22.5" hidden="1" customHeight="1">
      <c r="A866" s="35">
        <v>46237.64265326389</v>
      </c>
      <c r="B866" s="64">
        <v>45732.0</v>
      </c>
      <c r="C866" s="65" t="s">
        <v>64</v>
      </c>
      <c r="D866" s="65" t="s">
        <v>1426</v>
      </c>
      <c r="F866" s="65">
        <v>9.745724503E9</v>
      </c>
      <c r="H866" s="65" t="s">
        <v>1427</v>
      </c>
      <c r="I866" s="65">
        <v>10000.0</v>
      </c>
    </row>
    <row r="867" ht="22.5" hidden="1" customHeight="1">
      <c r="A867" s="35">
        <v>46237.64296399306</v>
      </c>
      <c r="B867" s="64">
        <v>45732.0</v>
      </c>
      <c r="C867" s="65" t="s">
        <v>64</v>
      </c>
      <c r="D867" s="65" t="s">
        <v>1428</v>
      </c>
      <c r="F867" s="65">
        <v>8.086921676E9</v>
      </c>
      <c r="H867" s="65" t="s">
        <v>1429</v>
      </c>
      <c r="I867" s="65">
        <v>4000.0</v>
      </c>
    </row>
    <row r="868" ht="22.5" customHeight="1">
      <c r="A868" s="35">
        <v>46237.64352488426</v>
      </c>
      <c r="B868" s="64">
        <v>45732.0</v>
      </c>
      <c r="C868" s="65" t="s">
        <v>50</v>
      </c>
      <c r="D868" s="65" t="s">
        <v>1430</v>
      </c>
      <c r="F868" s="65">
        <v>9.544444114E9</v>
      </c>
      <c r="H868" s="65" t="s">
        <v>1431</v>
      </c>
      <c r="I868" s="65">
        <v>30000.0</v>
      </c>
    </row>
    <row r="869" ht="22.5" customHeight="1">
      <c r="A869" s="35">
        <v>46237.643901539355</v>
      </c>
      <c r="B869" s="64">
        <v>45732.0</v>
      </c>
      <c r="C869" s="65" t="s">
        <v>50</v>
      </c>
      <c r="D869" s="65" t="s">
        <v>1432</v>
      </c>
      <c r="E869" s="65" t="s">
        <v>1430</v>
      </c>
      <c r="F869" s="65">
        <v>9.544444114E9</v>
      </c>
      <c r="H869" s="65" t="s">
        <v>1431</v>
      </c>
      <c r="I869" s="65">
        <v>30000.0</v>
      </c>
    </row>
    <row r="870" ht="22.5" customHeight="1">
      <c r="A870" s="35">
        <v>46237.64431402778</v>
      </c>
      <c r="B870" s="64">
        <v>45732.0</v>
      </c>
      <c r="C870" s="65" t="s">
        <v>50</v>
      </c>
      <c r="D870" s="65" t="s">
        <v>1433</v>
      </c>
      <c r="E870" s="65" t="s">
        <v>1430</v>
      </c>
      <c r="F870" s="65">
        <v>9.544444114E9</v>
      </c>
      <c r="H870" s="65" t="s">
        <v>1431</v>
      </c>
      <c r="I870" s="65">
        <v>30000.0</v>
      </c>
    </row>
    <row r="871" ht="22.5" hidden="1" customHeight="1">
      <c r="A871" s="35">
        <v>46237.64495212963</v>
      </c>
      <c r="B871" s="64">
        <v>45733.0</v>
      </c>
      <c r="C871" s="65" t="s">
        <v>248</v>
      </c>
      <c r="D871" s="65" t="s">
        <v>1434</v>
      </c>
      <c r="F871" s="65">
        <v>9.846113455E9</v>
      </c>
      <c r="H871" s="65" t="s">
        <v>1435</v>
      </c>
      <c r="I871" s="65">
        <v>30000.0</v>
      </c>
    </row>
    <row r="872" ht="22.5" customHeight="1">
      <c r="A872" s="35">
        <v>46237.645353796295</v>
      </c>
      <c r="B872" s="64">
        <v>45734.0</v>
      </c>
      <c r="C872" s="65" t="s">
        <v>50</v>
      </c>
      <c r="D872" s="65" t="s">
        <v>1436</v>
      </c>
      <c r="F872" s="65">
        <v>9.544444114E9</v>
      </c>
      <c r="H872" s="65" t="s">
        <v>1437</v>
      </c>
      <c r="I872" s="65">
        <v>30000.0</v>
      </c>
    </row>
    <row r="873" ht="22.5" hidden="1" customHeight="1">
      <c r="A873" s="35">
        <v>46237.64569106481</v>
      </c>
      <c r="B873" s="64">
        <v>45735.0</v>
      </c>
      <c r="C873" s="65" t="s">
        <v>248</v>
      </c>
      <c r="D873" s="65" t="s">
        <v>1438</v>
      </c>
      <c r="F873" s="65">
        <v>8.086537744E9</v>
      </c>
      <c r="H873" s="65" t="s">
        <v>1439</v>
      </c>
      <c r="I873" s="65">
        <v>30000.0</v>
      </c>
    </row>
    <row r="874" ht="22.5" hidden="1" customHeight="1">
      <c r="A874" s="35">
        <v>46237.645996990745</v>
      </c>
      <c r="B874" s="64">
        <v>45735.0</v>
      </c>
      <c r="C874" s="65" t="s">
        <v>248</v>
      </c>
      <c r="D874" s="65" t="s">
        <v>1440</v>
      </c>
      <c r="F874" s="65">
        <v>9.048292728E9</v>
      </c>
      <c r="H874" s="65" t="s">
        <v>1441</v>
      </c>
      <c r="I874" s="65">
        <v>27000.0</v>
      </c>
    </row>
    <row r="875" ht="22.5" hidden="1" customHeight="1">
      <c r="A875" s="35">
        <v>46237.64653253472</v>
      </c>
      <c r="B875" s="64">
        <v>45736.0</v>
      </c>
      <c r="C875" s="65" t="s">
        <v>50</v>
      </c>
      <c r="D875" s="33" t="s">
        <v>68</v>
      </c>
      <c r="F875" s="31">
        <v>9.847880118E9</v>
      </c>
      <c r="H875" s="65" t="s">
        <v>1442</v>
      </c>
      <c r="I875" s="65">
        <v>4500.0</v>
      </c>
    </row>
    <row r="876" ht="22.5" hidden="1" customHeight="1">
      <c r="A876" s="35">
        <v>46237.64695787037</v>
      </c>
      <c r="B876" s="64">
        <v>45736.0</v>
      </c>
      <c r="C876" s="65" t="s">
        <v>50</v>
      </c>
      <c r="D876" s="65" t="s">
        <v>1443</v>
      </c>
      <c r="F876" s="65">
        <v>7.447443E9</v>
      </c>
      <c r="H876" s="65" t="s">
        <v>1444</v>
      </c>
      <c r="I876" s="65">
        <v>1500.0</v>
      </c>
    </row>
    <row r="877" ht="22.5" hidden="1" customHeight="1">
      <c r="A877" s="35">
        <v>46237.66095893519</v>
      </c>
      <c r="B877" s="64">
        <v>45736.0</v>
      </c>
      <c r="C877" s="65" t="s">
        <v>50</v>
      </c>
      <c r="D877" s="65" t="s">
        <v>1443</v>
      </c>
      <c r="F877" s="65">
        <v>7.447443E9</v>
      </c>
      <c r="H877" s="65" t="s">
        <v>1445</v>
      </c>
      <c r="I877" s="65">
        <v>13500.0</v>
      </c>
    </row>
    <row r="878" ht="22.5" customHeight="1">
      <c r="A878" s="35">
        <v>46237.66295806713</v>
      </c>
      <c r="B878" s="64">
        <v>45736.0</v>
      </c>
      <c r="C878" s="65" t="s">
        <v>50</v>
      </c>
      <c r="D878" s="65" t="s">
        <v>1446</v>
      </c>
      <c r="F878" s="65">
        <v>9.544444114E9</v>
      </c>
      <c r="H878" s="65" t="s">
        <v>1447</v>
      </c>
      <c r="I878" s="65">
        <v>30000.0</v>
      </c>
    </row>
    <row r="879" ht="22.5" customHeight="1">
      <c r="A879" s="35">
        <v>46237.663325625</v>
      </c>
      <c r="B879" s="64">
        <v>45737.0</v>
      </c>
      <c r="C879" s="65" t="s">
        <v>50</v>
      </c>
      <c r="D879" s="65" t="s">
        <v>1448</v>
      </c>
      <c r="F879" s="65">
        <v>9.544444114E9</v>
      </c>
      <c r="H879" s="65" t="s">
        <v>1449</v>
      </c>
      <c r="I879" s="65">
        <v>30000.0</v>
      </c>
    </row>
    <row r="880" ht="22.5" hidden="1" customHeight="1">
      <c r="A880" s="35">
        <v>46237.663849861114</v>
      </c>
      <c r="B880" s="64">
        <v>45738.0</v>
      </c>
      <c r="C880" s="65" t="s">
        <v>50</v>
      </c>
      <c r="D880" s="65" t="s">
        <v>1450</v>
      </c>
      <c r="F880" s="65">
        <v>7.447443E9</v>
      </c>
      <c r="H880" s="65" t="s">
        <v>1451</v>
      </c>
      <c r="I880" s="65">
        <v>15000.0</v>
      </c>
    </row>
    <row r="881" ht="22.5" hidden="1" customHeight="1">
      <c r="A881" s="35">
        <v>46237.664245162036</v>
      </c>
      <c r="B881" s="64">
        <v>45741.0</v>
      </c>
      <c r="C881" s="65" t="s">
        <v>53</v>
      </c>
      <c r="D881" s="31" t="s">
        <v>204</v>
      </c>
      <c r="F881" s="31">
        <v>9.7430216158E10</v>
      </c>
      <c r="H881" s="65" t="s">
        <v>1452</v>
      </c>
      <c r="I881" s="65">
        <v>2000.0</v>
      </c>
    </row>
    <row r="882" ht="22.5" hidden="1" customHeight="1">
      <c r="A882" s="35">
        <v>46237.66512875</v>
      </c>
      <c r="B882" s="64">
        <v>45742.0</v>
      </c>
      <c r="C882" s="65" t="s">
        <v>50</v>
      </c>
      <c r="D882" s="65" t="s">
        <v>1453</v>
      </c>
      <c r="F882" s="65">
        <v>9.446115202E9</v>
      </c>
      <c r="H882" s="65" t="s">
        <v>1454</v>
      </c>
      <c r="I882" s="65">
        <v>90000.0</v>
      </c>
    </row>
    <row r="883" ht="22.5" hidden="1" customHeight="1">
      <c r="A883" s="35">
        <v>46237.67140417824</v>
      </c>
      <c r="B883" s="64">
        <v>45742.0</v>
      </c>
      <c r="C883" s="65" t="s">
        <v>53</v>
      </c>
      <c r="D883" s="65" t="s">
        <v>1455</v>
      </c>
      <c r="F883" s="65">
        <v>9.747742417E9</v>
      </c>
      <c r="H883" s="65" t="s">
        <v>1456</v>
      </c>
      <c r="I883" s="65">
        <v>5000.0</v>
      </c>
    </row>
    <row r="884" ht="22.5" hidden="1" customHeight="1">
      <c r="A884" s="35">
        <v>46237.67323648148</v>
      </c>
      <c r="B884" s="64">
        <v>45743.0</v>
      </c>
      <c r="C884" s="65" t="s">
        <v>53</v>
      </c>
      <c r="D884" s="65" t="s">
        <v>1457</v>
      </c>
      <c r="F884" s="65">
        <v>9.645262745E9</v>
      </c>
      <c r="H884" s="65" t="s">
        <v>1458</v>
      </c>
      <c r="I884" s="65">
        <v>30000.0</v>
      </c>
    </row>
    <row r="885" ht="22.5" hidden="1" customHeight="1">
      <c r="A885" s="35">
        <v>46237.67377219908</v>
      </c>
      <c r="B885" s="64">
        <v>45743.0</v>
      </c>
      <c r="C885" s="65" t="s">
        <v>53</v>
      </c>
      <c r="D885" s="65" t="s">
        <v>1459</v>
      </c>
      <c r="F885" s="65">
        <v>9.645262745E9</v>
      </c>
      <c r="H885" s="65" t="s">
        <v>1460</v>
      </c>
      <c r="I885" s="65">
        <v>30000.0</v>
      </c>
    </row>
    <row r="886" ht="22.5" hidden="1" customHeight="1">
      <c r="A886" s="35">
        <v>46237.67580278935</v>
      </c>
      <c r="B886" s="64">
        <v>45743.0</v>
      </c>
      <c r="C886" s="65" t="s">
        <v>53</v>
      </c>
      <c r="D886" s="31" t="s">
        <v>204</v>
      </c>
      <c r="F886" s="31">
        <v>9.7430216158E10</v>
      </c>
      <c r="H886" s="65" t="s">
        <v>1461</v>
      </c>
      <c r="I886" s="65">
        <v>2000.0</v>
      </c>
    </row>
    <row r="887" ht="22.5" hidden="1" customHeight="1">
      <c r="A887" s="35">
        <v>46237.676494837964</v>
      </c>
      <c r="B887" s="64">
        <v>45743.0</v>
      </c>
      <c r="C887" s="65" t="s">
        <v>53</v>
      </c>
      <c r="D887" s="65" t="s">
        <v>1144</v>
      </c>
      <c r="F887" s="65">
        <v>9.207124027E9</v>
      </c>
      <c r="H887" s="65" t="s">
        <v>1462</v>
      </c>
      <c r="I887" s="65">
        <v>10000.0</v>
      </c>
    </row>
    <row r="888" ht="22.5" hidden="1" customHeight="1">
      <c r="A888" s="35">
        <v>46237.67688204861</v>
      </c>
      <c r="B888" s="64">
        <v>45743.0</v>
      </c>
      <c r="C888" s="65" t="s">
        <v>53</v>
      </c>
      <c r="D888" s="31" t="s">
        <v>204</v>
      </c>
      <c r="F888" s="31">
        <v>9.7430216158E10</v>
      </c>
      <c r="H888" s="65" t="s">
        <v>1463</v>
      </c>
      <c r="I888" s="65">
        <v>2000.0</v>
      </c>
    </row>
    <row r="889" ht="22.5" hidden="1" customHeight="1">
      <c r="A889" s="35">
        <v>46237.67733517361</v>
      </c>
      <c r="B889" s="64">
        <v>45743.0</v>
      </c>
      <c r="C889" s="65" t="s">
        <v>50</v>
      </c>
      <c r="D889" s="65" t="s">
        <v>1464</v>
      </c>
      <c r="F889" s="65" t="s">
        <v>1465</v>
      </c>
      <c r="H889" s="65" t="s">
        <v>1466</v>
      </c>
      <c r="I889" s="65">
        <v>16229.0</v>
      </c>
    </row>
    <row r="890" ht="22.5" hidden="1" customHeight="1">
      <c r="A890" s="35">
        <v>46237.67779447917</v>
      </c>
      <c r="B890" s="64">
        <v>45744.0</v>
      </c>
      <c r="C890" s="65" t="s">
        <v>50</v>
      </c>
      <c r="D890" s="65" t="s">
        <v>1467</v>
      </c>
      <c r="F890" s="65" t="s">
        <v>1468</v>
      </c>
      <c r="H890" s="65" t="s">
        <v>1469</v>
      </c>
      <c r="I890" s="65">
        <v>60000.0</v>
      </c>
    </row>
    <row r="891" ht="22.5" hidden="1" customHeight="1">
      <c r="A891" s="35">
        <v>46237.67847378472</v>
      </c>
      <c r="B891" s="64">
        <v>45744.0</v>
      </c>
      <c r="C891" s="65" t="s">
        <v>248</v>
      </c>
      <c r="D891" s="65" t="s">
        <v>1470</v>
      </c>
      <c r="E891" s="65" t="s">
        <v>1471</v>
      </c>
      <c r="F891" s="65">
        <v>9.71506858408E11</v>
      </c>
      <c r="H891" s="65" t="s">
        <v>1472</v>
      </c>
      <c r="I891" s="65">
        <v>30000.0</v>
      </c>
    </row>
    <row r="892" ht="22.5" hidden="1" customHeight="1">
      <c r="A892" s="35">
        <v>46237.678977523145</v>
      </c>
      <c r="B892" s="64">
        <v>45744.0</v>
      </c>
      <c r="C892" s="65" t="s">
        <v>248</v>
      </c>
      <c r="D892" s="65" t="s">
        <v>1473</v>
      </c>
      <c r="F892" s="65">
        <v>7.012457094E9</v>
      </c>
      <c r="H892" s="65" t="s">
        <v>1474</v>
      </c>
      <c r="I892" s="65">
        <v>30000.0</v>
      </c>
    </row>
    <row r="893" ht="22.5" hidden="1" customHeight="1">
      <c r="A893" s="35">
        <v>46237.67941787037</v>
      </c>
      <c r="B893" s="64">
        <v>45744.0</v>
      </c>
      <c r="C893" s="65" t="s">
        <v>53</v>
      </c>
      <c r="D893" s="31" t="s">
        <v>204</v>
      </c>
      <c r="F893" s="31">
        <v>9.7430216158E10</v>
      </c>
      <c r="H893" s="65" t="s">
        <v>1475</v>
      </c>
      <c r="I893" s="65">
        <v>2000.0</v>
      </c>
    </row>
    <row r="894" ht="22.5" hidden="1" customHeight="1">
      <c r="A894" s="35">
        <v>46237.67998884259</v>
      </c>
      <c r="B894" s="64">
        <v>45745.0</v>
      </c>
      <c r="C894" s="65" t="s">
        <v>50</v>
      </c>
      <c r="D894" s="65" t="s">
        <v>1476</v>
      </c>
      <c r="F894" s="65">
        <v>9.71552212707E11</v>
      </c>
      <c r="H894" s="65" t="s">
        <v>1477</v>
      </c>
      <c r="I894" s="65">
        <v>19692.0</v>
      </c>
    </row>
    <row r="895" ht="22.5" hidden="1" customHeight="1">
      <c r="A895" s="35">
        <v>46237.680428506945</v>
      </c>
      <c r="B895" s="64">
        <v>45745.0</v>
      </c>
      <c r="C895" s="65" t="s">
        <v>50</v>
      </c>
      <c r="D895" s="65" t="s">
        <v>1478</v>
      </c>
      <c r="F895" s="65">
        <v>9.7150920754E11</v>
      </c>
      <c r="H895" s="65" t="s">
        <v>1479</v>
      </c>
      <c r="I895" s="65">
        <v>30000.0</v>
      </c>
    </row>
    <row r="896" ht="22.5" hidden="1" customHeight="1">
      <c r="A896" s="35">
        <v>46237.68085796296</v>
      </c>
      <c r="B896" s="64">
        <v>45745.0</v>
      </c>
      <c r="C896" s="65" t="s">
        <v>50</v>
      </c>
      <c r="D896" s="65" t="s">
        <v>1480</v>
      </c>
      <c r="F896" s="65">
        <v>7.872737373E9</v>
      </c>
      <c r="H896" s="65" t="s">
        <v>1481</v>
      </c>
      <c r="I896" s="65">
        <v>13000.0</v>
      </c>
    </row>
    <row r="897" ht="22.5" hidden="1" customHeight="1">
      <c r="A897" s="35">
        <v>46237.68170739584</v>
      </c>
      <c r="B897" s="64">
        <v>45745.0</v>
      </c>
      <c r="C897" s="65" t="s">
        <v>50</v>
      </c>
      <c r="D897" s="65" t="s">
        <v>356</v>
      </c>
      <c r="F897" s="65" t="s">
        <v>1149</v>
      </c>
      <c r="H897" s="65" t="s">
        <v>1482</v>
      </c>
      <c r="I897" s="65">
        <v>5000.0</v>
      </c>
    </row>
    <row r="898" ht="22.5" hidden="1" customHeight="1">
      <c r="A898" s="35">
        <v>46237.68224659722</v>
      </c>
      <c r="B898" s="64">
        <v>45745.0</v>
      </c>
      <c r="C898" s="65" t="s">
        <v>53</v>
      </c>
      <c r="D898" s="65" t="s">
        <v>1483</v>
      </c>
      <c r="F898" s="65">
        <v>7.022748995E9</v>
      </c>
      <c r="G898" s="65">
        <v>7.306184278E9</v>
      </c>
      <c r="H898" s="65" t="s">
        <v>1484</v>
      </c>
      <c r="I898" s="65">
        <v>10000.0</v>
      </c>
    </row>
    <row r="899" ht="22.5" hidden="1" customHeight="1">
      <c r="A899" s="35">
        <v>46237.72782027778</v>
      </c>
      <c r="B899" s="64">
        <v>45296.0</v>
      </c>
      <c r="C899" s="65" t="s">
        <v>64</v>
      </c>
      <c r="D899" s="65" t="s">
        <v>1485</v>
      </c>
      <c r="E899" s="65" t="s">
        <v>1486</v>
      </c>
      <c r="F899" s="65">
        <v>9.49647393E8</v>
      </c>
      <c r="H899" s="65" t="s">
        <v>1487</v>
      </c>
      <c r="I899" s="65">
        <v>10000.0</v>
      </c>
    </row>
    <row r="900" ht="22.5" hidden="1" customHeight="1">
      <c r="A900" s="35">
        <v>46237.7306653125</v>
      </c>
      <c r="B900" s="64">
        <v>45298.0</v>
      </c>
      <c r="C900" s="65" t="s">
        <v>64</v>
      </c>
      <c r="D900" s="65" t="s">
        <v>1488</v>
      </c>
      <c r="F900" s="65">
        <v>9.89527027E9</v>
      </c>
      <c r="H900" s="65" t="s">
        <v>1489</v>
      </c>
      <c r="I900" s="65">
        <v>2500.0</v>
      </c>
    </row>
    <row r="901" ht="22.5" hidden="1" customHeight="1">
      <c r="A901" s="35">
        <v>46237.73984865741</v>
      </c>
      <c r="B901" s="64">
        <v>45298.0</v>
      </c>
      <c r="C901" s="65" t="s">
        <v>64</v>
      </c>
      <c r="D901" s="65" t="s">
        <v>1490</v>
      </c>
      <c r="F901" s="65">
        <v>8.606006881E9</v>
      </c>
      <c r="H901" s="65" t="s">
        <v>1491</v>
      </c>
      <c r="I901" s="65">
        <v>5000.0</v>
      </c>
    </row>
    <row r="902" ht="22.5" hidden="1" customHeight="1">
      <c r="A902" s="35">
        <v>46237.74066923611</v>
      </c>
      <c r="B902" s="64">
        <v>45300.0</v>
      </c>
      <c r="C902" s="65" t="s">
        <v>50</v>
      </c>
      <c r="D902" s="65" t="s">
        <v>1492</v>
      </c>
      <c r="F902" s="65">
        <v>7.510816306E9</v>
      </c>
      <c r="H902" s="65" t="s">
        <v>1493</v>
      </c>
      <c r="I902" s="65">
        <v>2100.0</v>
      </c>
    </row>
    <row r="903" ht="22.5" hidden="1" customHeight="1">
      <c r="A903" s="35">
        <v>46237.74168847222</v>
      </c>
      <c r="B903" s="64">
        <v>45302.0</v>
      </c>
      <c r="C903" s="65" t="s">
        <v>64</v>
      </c>
      <c r="D903" s="65" t="s">
        <v>918</v>
      </c>
      <c r="E903" s="65" t="s">
        <v>1494</v>
      </c>
      <c r="F903" s="65">
        <v>6.89586342E9</v>
      </c>
      <c r="G903" s="65">
        <v>9.746718866E9</v>
      </c>
      <c r="H903" s="65" t="s">
        <v>1495</v>
      </c>
      <c r="I903" s="65">
        <v>4000.0</v>
      </c>
    </row>
    <row r="904" ht="22.5" hidden="1" customHeight="1">
      <c r="A904" s="35">
        <v>46237.742339143515</v>
      </c>
      <c r="B904" s="64">
        <v>45303.0</v>
      </c>
      <c r="C904" s="65" t="s">
        <v>53</v>
      </c>
      <c r="D904" s="65" t="s">
        <v>1496</v>
      </c>
      <c r="F904" s="65">
        <v>9.961413206E9</v>
      </c>
      <c r="H904" s="65" t="s">
        <v>1497</v>
      </c>
      <c r="I904" s="65">
        <v>5000.0</v>
      </c>
    </row>
    <row r="905" ht="22.5" hidden="1" customHeight="1">
      <c r="A905" s="35">
        <v>46237.74321612269</v>
      </c>
      <c r="B905" s="64">
        <v>45304.0</v>
      </c>
      <c r="C905" s="65" t="s">
        <v>50</v>
      </c>
      <c r="D905" s="65" t="s">
        <v>1498</v>
      </c>
      <c r="F905" s="65" t="s">
        <v>1499</v>
      </c>
      <c r="H905" s="65" t="s">
        <v>1500</v>
      </c>
      <c r="I905" s="65">
        <v>5000.0</v>
      </c>
    </row>
    <row r="906" ht="22.5" hidden="1" customHeight="1">
      <c r="A906" s="35">
        <v>46237.74402834491</v>
      </c>
      <c r="B906" s="64">
        <v>45307.0</v>
      </c>
      <c r="C906" s="65" t="s">
        <v>64</v>
      </c>
      <c r="D906" s="65" t="s">
        <v>1501</v>
      </c>
      <c r="E906" s="65" t="s">
        <v>277</v>
      </c>
      <c r="F906" s="65">
        <v>9.495920363E9</v>
      </c>
      <c r="H906" s="65" t="s">
        <v>1502</v>
      </c>
      <c r="I906" s="65">
        <v>2000.0</v>
      </c>
    </row>
    <row r="907" ht="22.5" hidden="1" customHeight="1">
      <c r="A907" s="35">
        <v>46237.744565092595</v>
      </c>
      <c r="B907" s="64">
        <v>45307.0</v>
      </c>
      <c r="C907" s="65" t="s">
        <v>64</v>
      </c>
      <c r="D907" s="29" t="s">
        <v>57</v>
      </c>
      <c r="E907" s="65" t="s">
        <v>277</v>
      </c>
      <c r="F907" s="31">
        <v>8.943021829E9</v>
      </c>
      <c r="H907" s="65" t="s">
        <v>1502</v>
      </c>
      <c r="I907" s="65">
        <v>2000.0</v>
      </c>
    </row>
    <row r="908" ht="22.5" hidden="1" customHeight="1">
      <c r="A908" s="35">
        <v>46237.74493078704</v>
      </c>
      <c r="B908" s="64">
        <v>45308.0</v>
      </c>
      <c r="C908" s="65" t="s">
        <v>64</v>
      </c>
      <c r="D908" s="65" t="s">
        <v>1503</v>
      </c>
      <c r="F908" s="65">
        <v>9.645603605E9</v>
      </c>
      <c r="H908" s="65" t="s">
        <v>1504</v>
      </c>
      <c r="I908" s="65">
        <v>10000.0</v>
      </c>
    </row>
    <row r="909" ht="22.5" hidden="1" customHeight="1">
      <c r="A909" s="35">
        <v>46237.745549467596</v>
      </c>
      <c r="B909" s="64">
        <v>45311.0</v>
      </c>
      <c r="C909" s="65" t="s">
        <v>53</v>
      </c>
      <c r="D909" s="65" t="s">
        <v>1505</v>
      </c>
      <c r="F909" s="65">
        <v>9.447853831E9</v>
      </c>
      <c r="H909" s="65" t="s">
        <v>1506</v>
      </c>
      <c r="I909" s="65">
        <v>2000.0</v>
      </c>
    </row>
    <row r="910" ht="22.5" hidden="1" customHeight="1">
      <c r="A910" s="35">
        <v>46237.74596100695</v>
      </c>
      <c r="B910" s="64">
        <v>45313.0</v>
      </c>
      <c r="C910" s="65" t="s">
        <v>53</v>
      </c>
      <c r="D910" s="65" t="s">
        <v>1457</v>
      </c>
      <c r="F910" s="65">
        <v>9.645262745E9</v>
      </c>
      <c r="H910" s="65" t="s">
        <v>1507</v>
      </c>
      <c r="I910" s="65">
        <v>25000.0</v>
      </c>
    </row>
    <row r="911" ht="22.5" hidden="1" customHeight="1">
      <c r="A911" s="35">
        <v>46237.74625065972</v>
      </c>
      <c r="B911" s="64">
        <v>45316.0</v>
      </c>
      <c r="C911" s="65" t="s">
        <v>53</v>
      </c>
      <c r="D911" s="65" t="s">
        <v>1508</v>
      </c>
      <c r="F911" s="65">
        <v>8.086338456E9</v>
      </c>
      <c r="H911" s="65" t="s">
        <v>1509</v>
      </c>
      <c r="I911" s="65">
        <v>2500.0</v>
      </c>
    </row>
    <row r="912" ht="22.5" hidden="1" customHeight="1">
      <c r="A912" s="35">
        <v>46237.746644467596</v>
      </c>
      <c r="B912" s="64">
        <v>45325.0</v>
      </c>
      <c r="C912" s="65" t="s">
        <v>50</v>
      </c>
      <c r="D912" s="65" t="s">
        <v>1492</v>
      </c>
      <c r="F912" s="65">
        <v>7.510816306E9</v>
      </c>
      <c r="H912" s="65" t="s">
        <v>1510</v>
      </c>
      <c r="I912" s="65">
        <v>2100.0</v>
      </c>
    </row>
    <row r="913" ht="22.5" hidden="1" customHeight="1">
      <c r="A913" s="35">
        <v>46237.74752859954</v>
      </c>
      <c r="B913" s="64">
        <v>45326.0</v>
      </c>
      <c r="C913" s="65" t="s">
        <v>64</v>
      </c>
      <c r="D913" s="65" t="s">
        <v>1511</v>
      </c>
      <c r="F913" s="65">
        <v>8.086270156E9</v>
      </c>
      <c r="H913" s="65" t="s">
        <v>1512</v>
      </c>
      <c r="I913" s="65">
        <v>5000.0</v>
      </c>
    </row>
    <row r="914" ht="22.5" hidden="1" customHeight="1">
      <c r="A914" s="35">
        <v>46237.74784740741</v>
      </c>
      <c r="B914" s="64">
        <v>45327.0</v>
      </c>
      <c r="C914" s="65" t="s">
        <v>64</v>
      </c>
      <c r="D914" s="65" t="s">
        <v>1513</v>
      </c>
      <c r="F914" s="65">
        <v>9.96123688E9</v>
      </c>
      <c r="H914" s="65" t="s">
        <v>1514</v>
      </c>
      <c r="I914" s="65">
        <v>5000.0</v>
      </c>
    </row>
    <row r="915" ht="22.5" hidden="1" customHeight="1">
      <c r="A915" s="35">
        <v>46237.74820834491</v>
      </c>
      <c r="B915" s="64">
        <v>45327.0</v>
      </c>
      <c r="C915" s="65" t="s">
        <v>53</v>
      </c>
      <c r="D915" s="65" t="s">
        <v>1515</v>
      </c>
      <c r="F915" s="65">
        <v>9.447684021E9</v>
      </c>
      <c r="H915" s="65" t="s">
        <v>1516</v>
      </c>
      <c r="I915" s="65">
        <v>2500.0</v>
      </c>
    </row>
    <row r="916" ht="22.5" hidden="1" customHeight="1">
      <c r="A916" s="35">
        <v>46237.74850834491</v>
      </c>
      <c r="B916" s="64">
        <v>45329.0</v>
      </c>
      <c r="C916" s="65" t="s">
        <v>53</v>
      </c>
      <c r="D916" s="65" t="s">
        <v>1517</v>
      </c>
      <c r="F916" s="65">
        <v>9.495920363E9</v>
      </c>
      <c r="H916" s="65" t="s">
        <v>1518</v>
      </c>
      <c r="I916" s="65">
        <v>2000.0</v>
      </c>
    </row>
    <row r="917" ht="22.5" hidden="1" customHeight="1">
      <c r="A917" s="35">
        <v>46237.748779166664</v>
      </c>
      <c r="B917" s="64">
        <v>45330.0</v>
      </c>
      <c r="C917" s="65" t="s">
        <v>53</v>
      </c>
      <c r="D917" s="65" t="s">
        <v>1519</v>
      </c>
      <c r="F917" s="65">
        <v>9.747374352E9</v>
      </c>
      <c r="H917" s="65" t="s">
        <v>1520</v>
      </c>
      <c r="I917" s="65">
        <v>2000.0</v>
      </c>
    </row>
    <row r="918" ht="22.5" hidden="1" customHeight="1">
      <c r="A918" s="35">
        <v>46237.749077395834</v>
      </c>
      <c r="B918" s="64">
        <v>45330.0</v>
      </c>
      <c r="C918" s="65" t="s">
        <v>53</v>
      </c>
      <c r="D918" s="65" t="s">
        <v>1521</v>
      </c>
      <c r="F918" s="65">
        <v>8.921299012E9</v>
      </c>
      <c r="H918" s="65" t="s">
        <v>1522</v>
      </c>
      <c r="I918" s="65">
        <v>15000.0</v>
      </c>
    </row>
    <row r="919" ht="22.5" hidden="1" customHeight="1">
      <c r="A919" s="35">
        <v>46237.74953799769</v>
      </c>
      <c r="B919" s="64">
        <v>45331.0</v>
      </c>
      <c r="C919" s="65" t="s">
        <v>53</v>
      </c>
      <c r="D919" s="65" t="s">
        <v>1523</v>
      </c>
      <c r="F919" s="65">
        <v>9.656291511E9</v>
      </c>
      <c r="H919" s="65" t="s">
        <v>1524</v>
      </c>
      <c r="I919" s="65">
        <v>5000.0</v>
      </c>
    </row>
    <row r="920" ht="22.5" hidden="1" customHeight="1">
      <c r="A920" s="35">
        <v>46237.750138668984</v>
      </c>
      <c r="B920" s="64">
        <v>45332.0</v>
      </c>
      <c r="C920" s="65" t="s">
        <v>53</v>
      </c>
      <c r="D920" s="65" t="s">
        <v>1525</v>
      </c>
      <c r="F920" s="65">
        <v>9.961413206E9</v>
      </c>
      <c r="H920" s="65" t="s">
        <v>1526</v>
      </c>
      <c r="I920" s="65">
        <v>5000.0</v>
      </c>
    </row>
    <row r="921" ht="22.5" hidden="1" customHeight="1">
      <c r="A921" s="35">
        <v>46237.75067057871</v>
      </c>
      <c r="B921" s="64">
        <v>45335.0</v>
      </c>
      <c r="C921" s="65" t="s">
        <v>64</v>
      </c>
      <c r="D921" s="65" t="s">
        <v>1527</v>
      </c>
      <c r="F921" s="65">
        <v>6.89586342E9</v>
      </c>
      <c r="G921" s="65" t="s">
        <v>1528</v>
      </c>
      <c r="H921" s="65" t="s">
        <v>1529</v>
      </c>
      <c r="I921" s="65">
        <v>4000.0</v>
      </c>
    </row>
    <row r="922" ht="22.5" hidden="1" customHeight="1">
      <c r="A922" s="35">
        <v>46237.751025219906</v>
      </c>
      <c r="B922" s="64">
        <v>45337.0</v>
      </c>
      <c r="C922" s="65" t="s">
        <v>64</v>
      </c>
      <c r="D922" s="65" t="s">
        <v>1488</v>
      </c>
      <c r="F922" s="65">
        <v>9.09527027E9</v>
      </c>
      <c r="H922" s="65" t="s">
        <v>1530</v>
      </c>
      <c r="I922" s="65">
        <v>2500.0</v>
      </c>
    </row>
    <row r="923" ht="22.5" hidden="1" customHeight="1">
      <c r="A923" s="35">
        <v>46237.75136203704</v>
      </c>
      <c r="B923" s="64">
        <v>45344.0</v>
      </c>
      <c r="C923" s="65" t="s">
        <v>64</v>
      </c>
      <c r="D923" s="65" t="s">
        <v>1531</v>
      </c>
      <c r="F923" s="65">
        <v>9.56733864E9</v>
      </c>
      <c r="H923" s="65" t="s">
        <v>1532</v>
      </c>
      <c r="I923" s="65">
        <v>5000.0</v>
      </c>
    </row>
    <row r="924" ht="22.5" hidden="1" customHeight="1">
      <c r="A924" s="35">
        <v>46237.75167305555</v>
      </c>
      <c r="B924" s="64">
        <v>45344.0</v>
      </c>
      <c r="C924" s="65" t="s">
        <v>64</v>
      </c>
      <c r="D924" s="65" t="s">
        <v>1533</v>
      </c>
      <c r="F924" s="65">
        <v>9.94663296E9</v>
      </c>
      <c r="H924" s="65" t="s">
        <v>1534</v>
      </c>
      <c r="I924" s="65">
        <v>3000.0</v>
      </c>
    </row>
    <row r="925" ht="22.5" hidden="1" customHeight="1">
      <c r="A925" s="35">
        <v>46237.752088611116</v>
      </c>
      <c r="B925" s="64">
        <v>45348.0</v>
      </c>
      <c r="C925" s="65" t="s">
        <v>53</v>
      </c>
      <c r="D925" s="65" t="s">
        <v>1535</v>
      </c>
      <c r="F925" s="65">
        <v>9.4478538331E10</v>
      </c>
      <c r="H925" s="65" t="s">
        <v>1536</v>
      </c>
      <c r="I925" s="65">
        <v>2000.0</v>
      </c>
    </row>
    <row r="926" ht="22.5" hidden="1" customHeight="1">
      <c r="A926" s="35">
        <v>46237.752487233796</v>
      </c>
      <c r="B926" s="64">
        <v>45349.0</v>
      </c>
      <c r="C926" s="65" t="s">
        <v>64</v>
      </c>
      <c r="D926" s="65" t="s">
        <v>708</v>
      </c>
      <c r="F926" s="65">
        <v>6.89586342E9</v>
      </c>
      <c r="G926" s="65">
        <v>9.746718866E9</v>
      </c>
      <c r="H926" s="65" t="s">
        <v>1537</v>
      </c>
      <c r="I926" s="65">
        <v>2000.0</v>
      </c>
    </row>
    <row r="927" ht="22.5" hidden="1" customHeight="1">
      <c r="A927" s="35">
        <v>46237.753746875</v>
      </c>
      <c r="B927" s="64">
        <v>45371.0</v>
      </c>
      <c r="C927" s="65" t="s">
        <v>64</v>
      </c>
      <c r="D927" s="65" t="s">
        <v>1538</v>
      </c>
      <c r="F927" s="65">
        <v>9.496473993E9</v>
      </c>
      <c r="H927" s="65" t="s">
        <v>1539</v>
      </c>
      <c r="I927" s="65">
        <v>10000.0</v>
      </c>
    </row>
    <row r="928" ht="22.5" hidden="1" customHeight="1">
      <c r="A928" s="35">
        <v>46237.75417678241</v>
      </c>
      <c r="B928" s="64">
        <v>45354.0</v>
      </c>
      <c r="C928" s="65" t="s">
        <v>50</v>
      </c>
      <c r="D928" s="65" t="s">
        <v>1492</v>
      </c>
      <c r="F928" s="65">
        <v>7.510816306E9</v>
      </c>
      <c r="H928" s="65" t="s">
        <v>1540</v>
      </c>
      <c r="I928" s="65">
        <v>2100.0</v>
      </c>
    </row>
    <row r="929" ht="22.5" hidden="1" customHeight="1">
      <c r="A929" s="35">
        <v>46237.754519525464</v>
      </c>
      <c r="B929" s="64">
        <v>45358.0</v>
      </c>
      <c r="C929" s="65" t="s">
        <v>53</v>
      </c>
      <c r="D929" s="33" t="s">
        <v>68</v>
      </c>
      <c r="F929" s="31">
        <v>9.847880118E9</v>
      </c>
      <c r="H929" s="65" t="s">
        <v>1541</v>
      </c>
      <c r="I929" s="65">
        <v>2000.0</v>
      </c>
    </row>
    <row r="930" ht="22.5" hidden="1" customHeight="1">
      <c r="A930" s="35">
        <v>46237.75501403935</v>
      </c>
      <c r="B930" s="64">
        <v>45358.0</v>
      </c>
      <c r="C930" s="65" t="s">
        <v>53</v>
      </c>
      <c r="D930" s="65" t="s">
        <v>1542</v>
      </c>
      <c r="F930" s="65">
        <v>9.539696706E9</v>
      </c>
      <c r="H930" s="65" t="s">
        <v>1543</v>
      </c>
      <c r="I930" s="65">
        <v>2500.0</v>
      </c>
    </row>
    <row r="931" ht="22.5" hidden="1" customHeight="1">
      <c r="A931" s="35">
        <v>46237.75567677083</v>
      </c>
      <c r="B931" s="64">
        <v>45360.0</v>
      </c>
      <c r="C931" s="65" t="s">
        <v>248</v>
      </c>
      <c r="D931" s="65" t="s">
        <v>1544</v>
      </c>
      <c r="F931" s="65">
        <v>9.846846806E9</v>
      </c>
      <c r="H931" s="65" t="s">
        <v>1545</v>
      </c>
      <c r="I931" s="65">
        <v>5000.0</v>
      </c>
    </row>
    <row r="932" ht="22.5" hidden="1" customHeight="1">
      <c r="A932" s="35">
        <v>46237.755349618055</v>
      </c>
      <c r="B932" s="64">
        <v>45360.0</v>
      </c>
      <c r="C932" s="65" t="s">
        <v>53</v>
      </c>
      <c r="D932" s="65" t="s">
        <v>1546</v>
      </c>
      <c r="F932" s="65">
        <v>9.961687759E9</v>
      </c>
      <c r="H932" s="65" t="s">
        <v>1547</v>
      </c>
      <c r="I932" s="65">
        <v>5000.0</v>
      </c>
    </row>
    <row r="933" ht="22.5" hidden="1" customHeight="1">
      <c r="A933" s="35">
        <v>46237.755977002314</v>
      </c>
      <c r="B933" s="64">
        <v>45361.0</v>
      </c>
      <c r="C933" s="65" t="s">
        <v>53</v>
      </c>
      <c r="D933" s="65" t="s">
        <v>1548</v>
      </c>
      <c r="F933" s="65">
        <v>9.846361925E9</v>
      </c>
      <c r="H933" s="65" t="s">
        <v>1549</v>
      </c>
      <c r="I933" s="65">
        <v>2500.0</v>
      </c>
    </row>
    <row r="934" ht="22.5" hidden="1" customHeight="1">
      <c r="A934" s="35">
        <v>46237.756724004634</v>
      </c>
      <c r="B934" s="64">
        <v>45361.0</v>
      </c>
      <c r="C934" s="65" t="s">
        <v>53</v>
      </c>
      <c r="D934" s="65" t="s">
        <v>1550</v>
      </c>
      <c r="F934" s="65" t="s">
        <v>1551</v>
      </c>
      <c r="H934" s="65" t="s">
        <v>1552</v>
      </c>
      <c r="I934" s="65">
        <v>15000.0</v>
      </c>
    </row>
    <row r="935" ht="22.5" hidden="1" customHeight="1">
      <c r="A935" s="35">
        <v>46237.757128310186</v>
      </c>
      <c r="B935" s="64">
        <v>45361.0</v>
      </c>
      <c r="C935" s="65" t="s">
        <v>53</v>
      </c>
      <c r="D935" s="65" t="s">
        <v>1553</v>
      </c>
      <c r="F935" s="65" t="s">
        <v>1554</v>
      </c>
      <c r="H935" s="65" t="s">
        <v>1555</v>
      </c>
      <c r="I935" s="65">
        <v>12500.0</v>
      </c>
    </row>
    <row r="936" ht="22.5" hidden="1" customHeight="1">
      <c r="A936" s="35">
        <v>46237.757414085645</v>
      </c>
      <c r="B936" s="64">
        <v>45361.0</v>
      </c>
      <c r="C936" s="65" t="s">
        <v>64</v>
      </c>
      <c r="D936" s="65" t="s">
        <v>1556</v>
      </c>
      <c r="F936" s="65">
        <v>8.547851654E9</v>
      </c>
      <c r="H936" s="65" t="s">
        <v>1557</v>
      </c>
      <c r="I936" s="65">
        <v>50000.0</v>
      </c>
    </row>
    <row r="937" ht="22.5" hidden="1" customHeight="1">
      <c r="A937" s="35">
        <v>46237.77894645833</v>
      </c>
      <c r="B937" s="64">
        <v>45368.0</v>
      </c>
      <c r="C937" s="65" t="s">
        <v>53</v>
      </c>
      <c r="D937" s="65" t="s">
        <v>1558</v>
      </c>
      <c r="F937" s="65">
        <v>7.994530325E9</v>
      </c>
      <c r="H937" s="65" t="s">
        <v>1559</v>
      </c>
      <c r="I937" s="65">
        <v>20000.0</v>
      </c>
    </row>
    <row r="938" ht="22.5" hidden="1" customHeight="1">
      <c r="A938" s="35">
        <v>46237.77946478009</v>
      </c>
      <c r="B938" s="64">
        <v>45372.0</v>
      </c>
      <c r="C938" s="65" t="s">
        <v>64</v>
      </c>
      <c r="D938" s="65" t="s">
        <v>1488</v>
      </c>
      <c r="F938" s="65">
        <v>9.89527027E9</v>
      </c>
      <c r="H938" s="65" t="s">
        <v>1560</v>
      </c>
      <c r="I938" s="65">
        <v>2000.0</v>
      </c>
    </row>
    <row r="939" ht="22.5" hidden="1" customHeight="1">
      <c r="A939" s="35">
        <v>46237.77994148148</v>
      </c>
      <c r="B939" s="64">
        <v>45373.0</v>
      </c>
      <c r="C939" s="65" t="s">
        <v>53</v>
      </c>
      <c r="D939" s="65" t="s">
        <v>1561</v>
      </c>
      <c r="F939" s="65">
        <v>9.961413206E9</v>
      </c>
      <c r="H939" s="65" t="s">
        <v>1562</v>
      </c>
      <c r="I939" s="65">
        <v>5000.0</v>
      </c>
    </row>
    <row r="940" ht="22.5" hidden="1" customHeight="1">
      <c r="A940" s="35">
        <v>46237.780374560185</v>
      </c>
      <c r="B940" s="64">
        <v>45373.0</v>
      </c>
      <c r="C940" s="65" t="s">
        <v>53</v>
      </c>
      <c r="D940" s="65" t="s">
        <v>1563</v>
      </c>
      <c r="F940" s="65" t="s">
        <v>1564</v>
      </c>
      <c r="H940" s="65" t="s">
        <v>1565</v>
      </c>
      <c r="I940" s="65">
        <v>12500.0</v>
      </c>
    </row>
    <row r="941" ht="22.5" customHeight="1">
      <c r="A941" s="35">
        <v>46237.780706805555</v>
      </c>
      <c r="B941" s="64">
        <v>45373.0</v>
      </c>
      <c r="C941" s="65" t="s">
        <v>50</v>
      </c>
      <c r="D941" s="65" t="s">
        <v>1566</v>
      </c>
      <c r="F941" s="65">
        <v>9.544444114E9</v>
      </c>
      <c r="H941" s="65" t="s">
        <v>1567</v>
      </c>
      <c r="I941" s="65">
        <v>25000.0</v>
      </c>
    </row>
    <row r="942" ht="22.5" customHeight="1">
      <c r="A942" s="35">
        <v>46237.781101458335</v>
      </c>
      <c r="B942" s="64">
        <v>45373.0</v>
      </c>
      <c r="C942" s="65" t="s">
        <v>50</v>
      </c>
      <c r="D942" s="65" t="s">
        <v>1568</v>
      </c>
      <c r="F942" s="65">
        <v>9.544444114E9</v>
      </c>
      <c r="H942" s="65" t="s">
        <v>1569</v>
      </c>
      <c r="I942" s="65">
        <v>50000.0</v>
      </c>
    </row>
    <row r="943" ht="22.5" hidden="1" customHeight="1">
      <c r="A943" s="35">
        <v>46237.78137005787</v>
      </c>
      <c r="B943" s="64">
        <v>45375.0</v>
      </c>
      <c r="C943" s="65" t="s">
        <v>64</v>
      </c>
      <c r="D943" s="65" t="s">
        <v>1570</v>
      </c>
      <c r="F943" s="65">
        <v>7.510700346E9</v>
      </c>
      <c r="H943" s="65" t="s">
        <v>1571</v>
      </c>
      <c r="I943" s="65">
        <v>10000.0</v>
      </c>
    </row>
    <row r="944" ht="22.5" hidden="1" customHeight="1">
      <c r="A944" s="35">
        <v>46237.7820946412</v>
      </c>
      <c r="B944" s="64">
        <v>45375.0</v>
      </c>
      <c r="C944" s="65" t="s">
        <v>53</v>
      </c>
      <c r="D944" s="65" t="s">
        <v>1572</v>
      </c>
      <c r="F944" s="65">
        <v>9.633903054E9</v>
      </c>
      <c r="H944" s="65" t="s">
        <v>1573</v>
      </c>
      <c r="I944" s="65">
        <v>2000.0</v>
      </c>
    </row>
    <row r="945" ht="22.5" customHeight="1">
      <c r="A945" s="35">
        <v>46237.782514108796</v>
      </c>
      <c r="B945" s="64">
        <v>45375.0</v>
      </c>
      <c r="C945" s="65" t="s">
        <v>50</v>
      </c>
      <c r="D945" s="65" t="s">
        <v>1574</v>
      </c>
      <c r="F945" s="65">
        <v>9.544444114E9</v>
      </c>
      <c r="H945" s="65" t="s">
        <v>1575</v>
      </c>
      <c r="I945" s="65">
        <v>25000.0</v>
      </c>
    </row>
    <row r="946" ht="22.5" customHeight="1">
      <c r="A946" s="35">
        <v>46237.7828215162</v>
      </c>
      <c r="B946" s="64">
        <v>45375.0</v>
      </c>
      <c r="C946" s="65" t="s">
        <v>50</v>
      </c>
      <c r="D946" s="65" t="s">
        <v>1576</v>
      </c>
      <c r="F946" s="65">
        <v>9.544444114E9</v>
      </c>
      <c r="H946" s="65" t="s">
        <v>1577</v>
      </c>
      <c r="I946" s="65">
        <v>25000.0</v>
      </c>
    </row>
    <row r="947" ht="22.5" customHeight="1">
      <c r="A947" s="35">
        <v>46237.783243275466</v>
      </c>
      <c r="B947" s="64">
        <v>45375.0</v>
      </c>
      <c r="C947" s="65" t="s">
        <v>50</v>
      </c>
      <c r="D947" s="65" t="s">
        <v>1578</v>
      </c>
      <c r="F947" s="65">
        <v>9.544444114E9</v>
      </c>
      <c r="H947" s="65" t="s">
        <v>1579</v>
      </c>
      <c r="I947" s="65">
        <v>25000.0</v>
      </c>
    </row>
    <row r="948" ht="22.5" hidden="1" customHeight="1">
      <c r="A948" s="35">
        <v>46237.78415710648</v>
      </c>
      <c r="B948" s="64">
        <v>45376.0</v>
      </c>
      <c r="C948" s="65" t="s">
        <v>53</v>
      </c>
      <c r="D948" s="65" t="s">
        <v>1580</v>
      </c>
      <c r="F948" s="65">
        <v>9.400630687E9</v>
      </c>
      <c r="H948" s="65" t="s">
        <v>1581</v>
      </c>
      <c r="I948" s="65">
        <v>5000.0</v>
      </c>
    </row>
    <row r="949" ht="22.5" hidden="1" customHeight="1">
      <c r="A949" s="35">
        <v>46237.78448775463</v>
      </c>
      <c r="B949" s="64">
        <v>45377.0</v>
      </c>
      <c r="C949" s="65" t="s">
        <v>53</v>
      </c>
      <c r="D949" s="65" t="s">
        <v>1582</v>
      </c>
      <c r="F949" s="65">
        <v>8.086657125E9</v>
      </c>
      <c r="H949" s="65" t="s">
        <v>1583</v>
      </c>
      <c r="I949" s="65">
        <v>10000.0</v>
      </c>
    </row>
    <row r="950" ht="22.5" hidden="1" customHeight="1">
      <c r="A950" s="35">
        <v>46237.784927534725</v>
      </c>
      <c r="B950" s="64">
        <v>45378.0</v>
      </c>
      <c r="C950" s="65" t="s">
        <v>50</v>
      </c>
      <c r="D950" s="65" t="s">
        <v>1584</v>
      </c>
      <c r="F950" s="65">
        <v>9.449627339E9</v>
      </c>
      <c r="H950" s="65" t="s">
        <v>1585</v>
      </c>
      <c r="I950" s="65">
        <v>25000.0</v>
      </c>
    </row>
    <row r="951" ht="22.5" hidden="1" customHeight="1">
      <c r="A951" s="35">
        <v>46237.785438900464</v>
      </c>
      <c r="B951" s="64">
        <v>45379.0</v>
      </c>
      <c r="C951" s="65" t="s">
        <v>53</v>
      </c>
      <c r="D951" s="65" t="s">
        <v>1586</v>
      </c>
      <c r="F951" s="65">
        <v>9.497641786E9</v>
      </c>
      <c r="H951" s="65" t="s">
        <v>1587</v>
      </c>
      <c r="I951" s="65">
        <v>2000.0</v>
      </c>
    </row>
    <row r="952" ht="22.5" hidden="1" customHeight="1">
      <c r="A952" s="35">
        <v>46237.785840937504</v>
      </c>
      <c r="B952" s="64">
        <v>45379.0</v>
      </c>
      <c r="C952" s="65" t="s">
        <v>53</v>
      </c>
      <c r="D952" s="65" t="s">
        <v>1586</v>
      </c>
      <c r="F952" s="65">
        <v>9.497641786E9</v>
      </c>
      <c r="H952" s="65" t="s">
        <v>1588</v>
      </c>
      <c r="I952" s="65">
        <v>13000.0</v>
      </c>
    </row>
    <row r="953" ht="22.5" hidden="1" customHeight="1">
      <c r="A953" s="35">
        <v>46237.78626689815</v>
      </c>
      <c r="B953" s="64">
        <v>45380.0</v>
      </c>
      <c r="C953" s="65" t="s">
        <v>50</v>
      </c>
      <c r="D953" s="65" t="s">
        <v>1589</v>
      </c>
      <c r="F953" s="65" t="s">
        <v>1590</v>
      </c>
      <c r="H953" s="65" t="s">
        <v>1591</v>
      </c>
      <c r="I953" s="65">
        <v>100000.0</v>
      </c>
    </row>
    <row r="954" ht="22.5" hidden="1" customHeight="1">
      <c r="A954" s="35">
        <v>46237.78662508102</v>
      </c>
      <c r="B954" s="64">
        <v>45382.0</v>
      </c>
      <c r="C954" s="65" t="s">
        <v>50</v>
      </c>
      <c r="D954" s="65" t="s">
        <v>1592</v>
      </c>
      <c r="F954" s="65">
        <v>9.446778698E9</v>
      </c>
      <c r="H954" s="65" t="s">
        <v>1593</v>
      </c>
      <c r="I954" s="65">
        <v>9000.0</v>
      </c>
    </row>
    <row r="955" ht="22.5" hidden="1" customHeight="1">
      <c r="A955" s="35">
        <v>46237.78728082176</v>
      </c>
      <c r="B955" s="64">
        <v>45382.0</v>
      </c>
      <c r="C955" s="65" t="s">
        <v>50</v>
      </c>
      <c r="D955" s="31" t="s">
        <v>204</v>
      </c>
      <c r="F955" s="31">
        <v>9.7430216158E10</v>
      </c>
      <c r="H955" s="65" t="s">
        <v>1594</v>
      </c>
      <c r="I955" s="65">
        <v>2000.0</v>
      </c>
    </row>
    <row r="956" ht="22.5" hidden="1" customHeight="1">
      <c r="A956" s="35">
        <v>46237.78869436342</v>
      </c>
      <c r="B956" s="64">
        <v>45382.0</v>
      </c>
      <c r="C956" s="65" t="s">
        <v>64</v>
      </c>
      <c r="D956" s="65" t="s">
        <v>1595</v>
      </c>
      <c r="F956" s="65">
        <v>9.497545479E9</v>
      </c>
      <c r="G956" s="65">
        <v>9.04815369E9</v>
      </c>
      <c r="H956" s="65" t="s">
        <v>1596</v>
      </c>
      <c r="I956" s="65">
        <v>10000.0</v>
      </c>
    </row>
    <row r="957" ht="22.5" hidden="1" customHeight="1">
      <c r="A957" s="35">
        <v>46237.789207685186</v>
      </c>
      <c r="B957" s="64">
        <v>45383.0</v>
      </c>
      <c r="C957" s="65" t="s">
        <v>53</v>
      </c>
      <c r="D957" s="65" t="s">
        <v>1597</v>
      </c>
      <c r="F957" s="65">
        <v>8.547775577E9</v>
      </c>
      <c r="H957" s="65" t="s">
        <v>1598</v>
      </c>
      <c r="I957" s="65">
        <v>10000.0</v>
      </c>
    </row>
    <row r="958" ht="22.5" hidden="1" customHeight="1">
      <c r="A958" s="35">
        <v>46237.78959638889</v>
      </c>
      <c r="B958" s="64">
        <v>45383.0</v>
      </c>
      <c r="C958" s="65" t="s">
        <v>50</v>
      </c>
      <c r="D958" s="31" t="s">
        <v>204</v>
      </c>
      <c r="F958" s="31">
        <v>9.7430216158E10</v>
      </c>
      <c r="H958" s="65" t="s">
        <v>1599</v>
      </c>
      <c r="I958" s="65">
        <v>2000.0</v>
      </c>
    </row>
    <row r="959" ht="22.5" hidden="1" customHeight="1">
      <c r="A959" s="35">
        <v>46237.789903032404</v>
      </c>
      <c r="B959" s="64">
        <v>45384.0</v>
      </c>
      <c r="C959" s="65" t="s">
        <v>53</v>
      </c>
      <c r="D959" s="65" t="s">
        <v>1600</v>
      </c>
      <c r="F959" s="65">
        <v>9.048594766E9</v>
      </c>
      <c r="H959" s="65" t="s">
        <v>1601</v>
      </c>
      <c r="I959" s="65">
        <v>8000.0</v>
      </c>
    </row>
    <row r="960" ht="22.5" hidden="1" customHeight="1">
      <c r="A960" s="35">
        <v>46237.790351076386</v>
      </c>
      <c r="B960" s="64">
        <v>45384.0</v>
      </c>
      <c r="C960" s="65" t="s">
        <v>50</v>
      </c>
      <c r="D960" s="31" t="s">
        <v>204</v>
      </c>
      <c r="F960" s="31">
        <v>9.7430216158E10</v>
      </c>
      <c r="H960" s="65" t="s">
        <v>1602</v>
      </c>
      <c r="I960" s="65">
        <v>2000.0</v>
      </c>
    </row>
    <row r="961" ht="22.5" hidden="1" customHeight="1">
      <c r="A961" s="35">
        <v>46237.7907365625</v>
      </c>
      <c r="B961" s="64">
        <v>45384.0</v>
      </c>
      <c r="C961" s="65" t="s">
        <v>50</v>
      </c>
      <c r="D961" s="65" t="s">
        <v>1603</v>
      </c>
      <c r="F961" s="65">
        <v>9.446115202E9</v>
      </c>
      <c r="H961" s="65" t="s">
        <v>1604</v>
      </c>
      <c r="I961" s="65">
        <v>37530.0</v>
      </c>
    </row>
    <row r="962" ht="22.5" hidden="1" customHeight="1">
      <c r="A962" s="35">
        <v>46237.79115524306</v>
      </c>
      <c r="B962" s="64">
        <v>45384.0</v>
      </c>
      <c r="C962" s="65" t="s">
        <v>50</v>
      </c>
      <c r="D962" s="65" t="s">
        <v>1603</v>
      </c>
      <c r="F962" s="65">
        <v>9.446115202E9</v>
      </c>
      <c r="H962" s="65" t="s">
        <v>1605</v>
      </c>
      <c r="I962" s="65">
        <v>37520.0</v>
      </c>
    </row>
    <row r="963" ht="22.5" hidden="1" customHeight="1">
      <c r="A963" s="35">
        <v>46237.79167121528</v>
      </c>
      <c r="B963" s="64">
        <v>45384.0</v>
      </c>
      <c r="C963" s="65" t="s">
        <v>50</v>
      </c>
      <c r="D963" s="65" t="s">
        <v>1603</v>
      </c>
      <c r="F963" s="65">
        <v>9.446115202E9</v>
      </c>
      <c r="H963" s="65" t="s">
        <v>1606</v>
      </c>
      <c r="I963" s="65">
        <v>24950.0</v>
      </c>
    </row>
    <row r="964" ht="22.5" hidden="1" customHeight="1">
      <c r="A964" s="35">
        <v>46237.79467855324</v>
      </c>
      <c r="B964" s="64">
        <v>45385.0</v>
      </c>
      <c r="C964" s="65" t="s">
        <v>64</v>
      </c>
      <c r="D964" s="65" t="s">
        <v>1607</v>
      </c>
      <c r="F964" s="65">
        <v>9.895147846E9</v>
      </c>
      <c r="H964" s="65" t="s">
        <v>1608</v>
      </c>
      <c r="I964" s="65">
        <v>12500.0</v>
      </c>
    </row>
    <row r="965" ht="22.5" hidden="1" customHeight="1">
      <c r="A965" s="35">
        <v>46237.79825765046</v>
      </c>
      <c r="B965" s="64">
        <v>45385.0</v>
      </c>
      <c r="C965" s="65" t="s">
        <v>53</v>
      </c>
      <c r="D965" s="65" t="s">
        <v>1609</v>
      </c>
      <c r="F965" s="65" t="s">
        <v>1387</v>
      </c>
      <c r="H965" s="65" t="s">
        <v>1610</v>
      </c>
      <c r="I965" s="65">
        <v>2000.0</v>
      </c>
    </row>
    <row r="966" ht="22.5" hidden="1" customHeight="1">
      <c r="A966" s="35">
        <v>46237.798580428236</v>
      </c>
      <c r="B966" s="64">
        <v>45385.0</v>
      </c>
      <c r="C966" s="65" t="s">
        <v>53</v>
      </c>
      <c r="D966" s="65" t="s">
        <v>1572</v>
      </c>
      <c r="F966" s="65">
        <v>9.961272798E9</v>
      </c>
      <c r="H966" s="65" t="s">
        <v>1611</v>
      </c>
      <c r="I966" s="65">
        <v>5000.0</v>
      </c>
    </row>
    <row r="967" ht="22.5" hidden="1" customHeight="1">
      <c r="A967" s="35">
        <v>46237.800831967594</v>
      </c>
      <c r="B967" s="64">
        <v>45385.0</v>
      </c>
      <c r="C967" s="65" t="s">
        <v>50</v>
      </c>
      <c r="D967" s="65" t="s">
        <v>1612</v>
      </c>
      <c r="F967" s="65">
        <v>9.71545605706E11</v>
      </c>
      <c r="H967" s="65" t="s">
        <v>1613</v>
      </c>
      <c r="I967" s="65">
        <v>10000.0</v>
      </c>
    </row>
    <row r="968" ht="22.5" hidden="1" customHeight="1">
      <c r="A968" s="35">
        <v>46237.8015128588</v>
      </c>
      <c r="B968" s="64">
        <v>45385.0</v>
      </c>
      <c r="C968" s="65" t="s">
        <v>50</v>
      </c>
      <c r="D968" s="31" t="s">
        <v>204</v>
      </c>
      <c r="F968" s="31">
        <v>9.7430216158E10</v>
      </c>
      <c r="H968" s="65" t="s">
        <v>1614</v>
      </c>
      <c r="I968" s="65">
        <v>2000.0</v>
      </c>
    </row>
    <row r="969" ht="22.5" hidden="1" customHeight="1">
      <c r="A969" s="35">
        <v>46237.80224736111</v>
      </c>
      <c r="B969" s="64">
        <v>45386.0</v>
      </c>
      <c r="C969" s="65" t="s">
        <v>64</v>
      </c>
      <c r="D969" s="65" t="s">
        <v>1615</v>
      </c>
      <c r="F969" s="65">
        <v>9.744233213E9</v>
      </c>
      <c r="H969" s="65" t="s">
        <v>1616</v>
      </c>
      <c r="I969" s="65">
        <v>15000.0</v>
      </c>
    </row>
    <row r="970" ht="22.5" hidden="1" customHeight="1">
      <c r="A970" s="35">
        <v>46237.8026912037</v>
      </c>
      <c r="B970" s="64">
        <v>45386.0</v>
      </c>
      <c r="C970" s="65" t="s">
        <v>53</v>
      </c>
      <c r="D970" s="65" t="s">
        <v>1617</v>
      </c>
      <c r="F970" s="65">
        <v>7.012457094E9</v>
      </c>
      <c r="H970" s="65" t="s">
        <v>1618</v>
      </c>
      <c r="I970" s="65">
        <v>25000.0</v>
      </c>
    </row>
    <row r="971" ht="22.5" hidden="1" customHeight="1">
      <c r="A971" s="35">
        <v>46237.80305337963</v>
      </c>
      <c r="B971" s="64">
        <v>45386.0</v>
      </c>
      <c r="C971" s="65" t="s">
        <v>50</v>
      </c>
      <c r="D971" s="31" t="s">
        <v>204</v>
      </c>
      <c r="F971" s="31">
        <v>9.7430216158E10</v>
      </c>
      <c r="H971" s="65" t="s">
        <v>1619</v>
      </c>
      <c r="I971" s="65">
        <v>2000.0</v>
      </c>
    </row>
    <row r="972" ht="22.5" hidden="1" customHeight="1">
      <c r="A972" s="35">
        <v>46237.803331874995</v>
      </c>
      <c r="B972" s="64">
        <v>45386.0</v>
      </c>
      <c r="C972" s="65" t="s">
        <v>248</v>
      </c>
      <c r="D972" s="65" t="s">
        <v>1620</v>
      </c>
      <c r="F972" s="65">
        <v>9.846846806E9</v>
      </c>
      <c r="H972" s="65" t="s">
        <v>1621</v>
      </c>
      <c r="I972" s="65">
        <v>10000.0</v>
      </c>
    </row>
    <row r="973" ht="22.5" hidden="1" customHeight="1">
      <c r="A973" s="35">
        <v>46237.803722916666</v>
      </c>
      <c r="B973" s="64">
        <v>45386.0</v>
      </c>
      <c r="C973" s="65" t="s">
        <v>248</v>
      </c>
      <c r="D973" s="65" t="s">
        <v>1622</v>
      </c>
      <c r="F973" s="65">
        <v>9.895208497E9</v>
      </c>
      <c r="H973" s="65" t="s">
        <v>1623</v>
      </c>
      <c r="I973" s="65">
        <v>75000.0</v>
      </c>
    </row>
    <row r="974" ht="22.5" hidden="1" customHeight="1">
      <c r="A974" s="35">
        <v>46237.80403737268</v>
      </c>
      <c r="B974" s="64">
        <v>45387.0</v>
      </c>
      <c r="C974" s="65" t="s">
        <v>53</v>
      </c>
      <c r="D974" s="33" t="s">
        <v>68</v>
      </c>
      <c r="F974" s="31">
        <v>9.847880118E9</v>
      </c>
      <c r="H974" s="65" t="s">
        <v>1624</v>
      </c>
      <c r="I974" s="65">
        <v>2000.0</v>
      </c>
    </row>
    <row r="975" ht="22.5" hidden="1" customHeight="1">
      <c r="A975" s="35">
        <v>46237.804340347226</v>
      </c>
      <c r="B975" s="64">
        <v>45387.0</v>
      </c>
      <c r="C975" s="65" t="s">
        <v>53</v>
      </c>
      <c r="D975" s="65" t="s">
        <v>1582</v>
      </c>
      <c r="F975" s="65">
        <v>9.746021562E9</v>
      </c>
      <c r="H975" s="65" t="s">
        <v>1625</v>
      </c>
      <c r="I975" s="65">
        <v>1400.0</v>
      </c>
    </row>
    <row r="976" ht="22.5" hidden="1" customHeight="1">
      <c r="A976" s="35">
        <v>46237.80481746528</v>
      </c>
      <c r="B976" s="64">
        <v>45387.0</v>
      </c>
      <c r="C976" s="65" t="s">
        <v>50</v>
      </c>
      <c r="D976" s="31" t="s">
        <v>204</v>
      </c>
      <c r="F976" s="31">
        <v>9.7430216158E10</v>
      </c>
      <c r="H976" s="65" t="s">
        <v>1626</v>
      </c>
      <c r="I976" s="65">
        <v>3000.0</v>
      </c>
    </row>
    <row r="977" ht="22.5" hidden="1" customHeight="1">
      <c r="A977" s="35">
        <v>46237.99894466435</v>
      </c>
      <c r="B977" s="64">
        <v>45388.0</v>
      </c>
      <c r="C977" s="65" t="s">
        <v>64</v>
      </c>
      <c r="D977" s="65" t="s">
        <v>920</v>
      </c>
      <c r="F977" s="65">
        <v>9.656291511E9</v>
      </c>
      <c r="H977" s="65" t="s">
        <v>1627</v>
      </c>
      <c r="I977" s="65">
        <v>5000.0</v>
      </c>
    </row>
    <row r="978" ht="22.5" hidden="1" customHeight="1">
      <c r="A978" s="35">
        <v>46237.9994586574</v>
      </c>
      <c r="B978" s="64">
        <v>45388.0</v>
      </c>
      <c r="C978" s="65" t="s">
        <v>53</v>
      </c>
      <c r="D978" s="65" t="s">
        <v>334</v>
      </c>
      <c r="F978" s="65">
        <v>9.71547927499E11</v>
      </c>
      <c r="H978" s="65" t="s">
        <v>1628</v>
      </c>
      <c r="I978" s="65">
        <v>25000.0</v>
      </c>
    </row>
    <row r="979" ht="22.5" hidden="1" customHeight="1">
      <c r="A979" s="35">
        <v>46237.999869618056</v>
      </c>
      <c r="B979" s="64">
        <v>45388.0</v>
      </c>
      <c r="C979" s="65" t="s">
        <v>53</v>
      </c>
      <c r="D979" s="65" t="s">
        <v>1395</v>
      </c>
      <c r="F979" s="65">
        <v>9.847784075E9</v>
      </c>
      <c r="H979" s="65" t="s">
        <v>1629</v>
      </c>
      <c r="I979" s="65">
        <v>12500.0</v>
      </c>
    </row>
    <row r="980" ht="22.5" hidden="1" customHeight="1">
      <c r="A980" s="35">
        <v>46238.00023839121</v>
      </c>
      <c r="B980" s="64">
        <v>45388.0</v>
      </c>
      <c r="C980" s="65" t="s">
        <v>50</v>
      </c>
      <c r="D980" s="65" t="s">
        <v>500</v>
      </c>
      <c r="F980" s="65">
        <v>9.446778698E9</v>
      </c>
      <c r="H980" s="65" t="s">
        <v>1630</v>
      </c>
      <c r="I980" s="65">
        <v>6000.0</v>
      </c>
    </row>
    <row r="981" ht="22.5" hidden="1" customHeight="1">
      <c r="A981" s="35">
        <v>46238.00083615741</v>
      </c>
      <c r="B981" s="64">
        <v>45388.0</v>
      </c>
      <c r="C981" s="65" t="s">
        <v>50</v>
      </c>
      <c r="D981" s="31" t="s">
        <v>204</v>
      </c>
      <c r="F981" s="31">
        <v>9.7430216158E10</v>
      </c>
      <c r="H981" s="65" t="s">
        <v>1631</v>
      </c>
      <c r="I981" s="65">
        <v>2000.0</v>
      </c>
    </row>
    <row r="982" ht="22.5" hidden="1" customHeight="1">
      <c r="A982" s="35">
        <v>46238.00121076389</v>
      </c>
      <c r="B982" s="64">
        <v>45389.0</v>
      </c>
      <c r="C982" s="65" t="s">
        <v>53</v>
      </c>
      <c r="D982" s="65" t="s">
        <v>1632</v>
      </c>
      <c r="F982" s="65">
        <v>7.025252549E9</v>
      </c>
      <c r="H982" s="65" t="s">
        <v>1633</v>
      </c>
      <c r="I982" s="65">
        <v>5000.0</v>
      </c>
    </row>
    <row r="983" ht="22.5" hidden="1" customHeight="1">
      <c r="A983" s="35">
        <v>46238.00161045139</v>
      </c>
      <c r="B983" s="64">
        <v>45389.0</v>
      </c>
      <c r="C983" s="65" t="s">
        <v>53</v>
      </c>
      <c r="D983" s="65" t="s">
        <v>1535</v>
      </c>
      <c r="F983" s="65">
        <v>9.447853831E9</v>
      </c>
      <c r="H983" s="65" t="s">
        <v>1634</v>
      </c>
      <c r="I983" s="65">
        <v>4000.0</v>
      </c>
    </row>
    <row r="984" ht="22.5" hidden="1" customHeight="1">
      <c r="A984" s="35">
        <v>46238.00197896991</v>
      </c>
      <c r="B984" s="64">
        <v>45389.0</v>
      </c>
      <c r="C984" s="65" t="s">
        <v>50</v>
      </c>
      <c r="D984" s="65" t="s">
        <v>1635</v>
      </c>
      <c r="F984" s="65">
        <v>9.63313078E9</v>
      </c>
      <c r="H984" s="65" t="s">
        <v>1636</v>
      </c>
      <c r="I984" s="65">
        <v>5000.0</v>
      </c>
    </row>
    <row r="985" ht="22.5" hidden="1" customHeight="1">
      <c r="A985" s="35">
        <v>46238.00243208333</v>
      </c>
      <c r="B985" s="64">
        <v>45389.0</v>
      </c>
      <c r="C985" s="65" t="s">
        <v>50</v>
      </c>
      <c r="D985" s="31" t="s">
        <v>204</v>
      </c>
      <c r="F985" s="31">
        <v>9.7430216158E10</v>
      </c>
      <c r="H985" s="65" t="s">
        <v>1637</v>
      </c>
      <c r="I985" s="65">
        <v>2000.0</v>
      </c>
    </row>
    <row r="986" ht="22.5" hidden="1" customHeight="1">
      <c r="A986" s="35">
        <v>46238.00288569444</v>
      </c>
      <c r="B986" s="64">
        <v>45389.0</v>
      </c>
      <c r="C986" s="65" t="s">
        <v>50</v>
      </c>
      <c r="D986" s="65" t="s">
        <v>1638</v>
      </c>
      <c r="F986" s="65">
        <v>9.71506858408E11</v>
      </c>
      <c r="H986" s="65" t="s">
        <v>1639</v>
      </c>
      <c r="I986" s="65">
        <v>25000.0</v>
      </c>
    </row>
    <row r="987" ht="22.5" hidden="1" customHeight="1">
      <c r="A987" s="35">
        <v>46238.00340306713</v>
      </c>
      <c r="B987" s="64">
        <v>45390.0</v>
      </c>
      <c r="C987" s="65" t="s">
        <v>50</v>
      </c>
      <c r="D987" s="65" t="s">
        <v>1640</v>
      </c>
      <c r="F987" s="65">
        <v>9.7150867537E11</v>
      </c>
      <c r="H987" s="65" t="s">
        <v>1641</v>
      </c>
      <c r="I987" s="65">
        <v>100000.0</v>
      </c>
    </row>
    <row r="988" ht="22.5" hidden="1" customHeight="1">
      <c r="A988" s="35">
        <v>46238.00375732638</v>
      </c>
      <c r="B988" s="64">
        <v>45391.0</v>
      </c>
      <c r="C988" s="65" t="s">
        <v>53</v>
      </c>
      <c r="D988" s="65" t="s">
        <v>1558</v>
      </c>
      <c r="F988" s="65">
        <v>7.994530325E9</v>
      </c>
      <c r="H988" s="65" t="s">
        <v>1642</v>
      </c>
      <c r="I988" s="65">
        <v>25000.0</v>
      </c>
    </row>
    <row r="989" ht="22.5" hidden="1" customHeight="1">
      <c r="A989" s="35">
        <v>46238.00409953704</v>
      </c>
      <c r="B989" s="64">
        <v>45391.0</v>
      </c>
      <c r="C989" s="65" t="s">
        <v>53</v>
      </c>
      <c r="D989" s="65" t="s">
        <v>1643</v>
      </c>
      <c r="F989" s="65">
        <v>9.946984592E9</v>
      </c>
      <c r="H989" s="65" t="s">
        <v>1644</v>
      </c>
      <c r="I989" s="65">
        <v>10000.0</v>
      </c>
    </row>
    <row r="990" ht="22.5" hidden="1" customHeight="1">
      <c r="A990" s="35">
        <v>46238.00460694444</v>
      </c>
      <c r="B990" s="64">
        <v>45391.0</v>
      </c>
      <c r="C990" s="65" t="s">
        <v>50</v>
      </c>
      <c r="D990" s="31" t="s">
        <v>204</v>
      </c>
      <c r="F990" s="31">
        <v>9.7430216158E10</v>
      </c>
      <c r="H990" s="65" t="s">
        <v>1645</v>
      </c>
      <c r="I990" s="65">
        <v>2000.0</v>
      </c>
    </row>
    <row r="991" ht="22.5" hidden="1" customHeight="1">
      <c r="A991" s="35">
        <v>46238.004927581016</v>
      </c>
      <c r="B991" s="64">
        <v>45391.0</v>
      </c>
      <c r="C991" s="65" t="s">
        <v>50</v>
      </c>
      <c r="D991" s="65" t="s">
        <v>1646</v>
      </c>
      <c r="F991" s="65">
        <v>9.605772727E9</v>
      </c>
      <c r="H991" s="65" t="s">
        <v>1647</v>
      </c>
      <c r="I991" s="65">
        <v>3000.0</v>
      </c>
    </row>
    <row r="992" ht="22.5" hidden="1" customHeight="1">
      <c r="A992" s="35">
        <v>46238.00529435185</v>
      </c>
      <c r="B992" s="64">
        <v>45391.0</v>
      </c>
      <c r="C992" s="65" t="s">
        <v>248</v>
      </c>
      <c r="D992" s="65" t="s">
        <v>1434</v>
      </c>
      <c r="F992" s="65">
        <v>9.846113455E9</v>
      </c>
      <c r="H992" s="65" t="s">
        <v>1648</v>
      </c>
      <c r="I992" s="65">
        <v>25000.0</v>
      </c>
    </row>
    <row r="993" ht="22.5" hidden="1" customHeight="1">
      <c r="A993" s="35">
        <v>46238.00616168982</v>
      </c>
      <c r="B993" s="64">
        <v>45397.0</v>
      </c>
      <c r="C993" s="65" t="s">
        <v>64</v>
      </c>
      <c r="D993" s="65" t="s">
        <v>1649</v>
      </c>
      <c r="F993" s="65">
        <v>8.113925745E9</v>
      </c>
      <c r="H993" s="65" t="s">
        <v>1650</v>
      </c>
      <c r="I993" s="65">
        <v>25000.0</v>
      </c>
    </row>
    <row r="994" ht="22.5" hidden="1" customHeight="1">
      <c r="A994" s="35">
        <v>46238.00943563657</v>
      </c>
      <c r="B994" s="64">
        <v>45399.0</v>
      </c>
      <c r="C994" s="65" t="s">
        <v>64</v>
      </c>
      <c r="D994" s="65" t="s">
        <v>169</v>
      </c>
      <c r="E994" s="65" t="s">
        <v>913</v>
      </c>
      <c r="F994" s="65">
        <v>9.497671577E9</v>
      </c>
      <c r="H994" s="65" t="s">
        <v>1651</v>
      </c>
      <c r="I994" s="65">
        <v>10000.0</v>
      </c>
    </row>
    <row r="995" ht="22.5" hidden="1" customHeight="1">
      <c r="A995" s="35">
        <v>46238.00979758102</v>
      </c>
      <c r="B995" s="64">
        <v>45405.0</v>
      </c>
      <c r="C995" s="65" t="s">
        <v>64</v>
      </c>
      <c r="D995" s="65" t="s">
        <v>1652</v>
      </c>
      <c r="H995" s="65" t="s">
        <v>1653</v>
      </c>
      <c r="I995" s="65">
        <v>25000.0</v>
      </c>
    </row>
    <row r="996" ht="22.5" hidden="1" customHeight="1">
      <c r="A996" s="35">
        <v>46238.01082759259</v>
      </c>
      <c r="B996" s="64">
        <v>45412.0</v>
      </c>
      <c r="C996" s="65" t="s">
        <v>64</v>
      </c>
      <c r="D996" s="65" t="s">
        <v>1654</v>
      </c>
      <c r="F996" s="65">
        <v>9.995548018E9</v>
      </c>
      <c r="H996" s="65" t="s">
        <v>1655</v>
      </c>
      <c r="I996" s="65">
        <v>4000.0</v>
      </c>
    </row>
    <row r="997" ht="22.5" hidden="1" customHeight="1">
      <c r="A997" s="35">
        <v>46238.01310998843</v>
      </c>
      <c r="B997" s="64">
        <v>45414.0</v>
      </c>
      <c r="C997" s="65" t="s">
        <v>50</v>
      </c>
      <c r="D997" s="31" t="s">
        <v>204</v>
      </c>
      <c r="F997" s="31">
        <v>9.7430216158E10</v>
      </c>
      <c r="H997" s="65" t="s">
        <v>1656</v>
      </c>
      <c r="I997" s="65">
        <v>1500.0</v>
      </c>
    </row>
    <row r="998" ht="22.5" hidden="1" customHeight="1">
      <c r="A998" s="35">
        <v>46238.01342988426</v>
      </c>
      <c r="B998" s="64">
        <v>45415.0</v>
      </c>
      <c r="C998" s="65" t="s">
        <v>53</v>
      </c>
      <c r="D998" s="65" t="s">
        <v>1657</v>
      </c>
      <c r="F998" s="65">
        <v>8.197989845E9</v>
      </c>
      <c r="H998" s="65" t="s">
        <v>1658</v>
      </c>
      <c r="I998" s="65">
        <v>500.0</v>
      </c>
    </row>
    <row r="999" ht="22.5" hidden="1" customHeight="1">
      <c r="A999" s="35">
        <v>46238.01509076389</v>
      </c>
      <c r="B999" s="64">
        <v>45419.0</v>
      </c>
      <c r="C999" s="65" t="s">
        <v>53</v>
      </c>
      <c r="D999" s="33" t="s">
        <v>68</v>
      </c>
      <c r="F999" s="31">
        <v>9.847880118E9</v>
      </c>
      <c r="H999" s="65" t="s">
        <v>1659</v>
      </c>
      <c r="I999" s="65">
        <v>2000.0</v>
      </c>
    </row>
    <row r="1000" ht="22.5" hidden="1" customHeight="1">
      <c r="A1000" s="35">
        <v>46238.01576231481</v>
      </c>
      <c r="B1000" s="64">
        <v>45427.0</v>
      </c>
      <c r="C1000" s="65" t="s">
        <v>64</v>
      </c>
      <c r="D1000" s="65" t="s">
        <v>1660</v>
      </c>
      <c r="F1000" s="65">
        <v>8.606896311E9</v>
      </c>
      <c r="H1000" s="65" t="s">
        <v>1661</v>
      </c>
      <c r="I1000" s="65">
        <v>25000.0</v>
      </c>
    </row>
    <row r="1001" ht="22.5" hidden="1" customHeight="1">
      <c r="A1001" s="35">
        <v>46238.0161156713</v>
      </c>
      <c r="B1001" s="64">
        <v>45427.0</v>
      </c>
      <c r="C1001" s="65" t="s">
        <v>50</v>
      </c>
      <c r="D1001" s="65" t="s">
        <v>1662</v>
      </c>
      <c r="F1001" s="65">
        <v>9.846846806E9</v>
      </c>
      <c r="H1001" s="65" t="s">
        <v>1663</v>
      </c>
      <c r="I1001" s="65">
        <v>150000.0</v>
      </c>
    </row>
    <row r="1002" ht="22.5" hidden="1" customHeight="1">
      <c r="A1002" s="35">
        <v>46238.01656135416</v>
      </c>
      <c r="B1002" s="64">
        <v>45427.0</v>
      </c>
      <c r="C1002" s="65" t="s">
        <v>50</v>
      </c>
      <c r="D1002" s="65" t="s">
        <v>1664</v>
      </c>
      <c r="F1002" s="65">
        <v>9.447219217E9</v>
      </c>
      <c r="H1002" s="65" t="s">
        <v>1665</v>
      </c>
      <c r="I1002" s="65">
        <v>5002.36</v>
      </c>
    </row>
    <row r="1003" ht="22.5" hidden="1" customHeight="1">
      <c r="A1003" s="35">
        <v>46238.01697285879</v>
      </c>
      <c r="B1003" s="64">
        <v>45433.0</v>
      </c>
      <c r="C1003" s="65" t="s">
        <v>50</v>
      </c>
      <c r="D1003" s="65" t="s">
        <v>1664</v>
      </c>
      <c r="F1003" s="65">
        <v>9.447219217E9</v>
      </c>
      <c r="H1003" s="65" t="s">
        <v>1666</v>
      </c>
      <c r="I1003" s="65">
        <v>45000.0</v>
      </c>
    </row>
    <row r="1004" ht="22.5" hidden="1" customHeight="1">
      <c r="A1004" s="35">
        <v>46238.018402002315</v>
      </c>
      <c r="B1004" s="64">
        <v>45434.0</v>
      </c>
      <c r="C1004" s="65" t="s">
        <v>64</v>
      </c>
      <c r="D1004" s="65" t="s">
        <v>1667</v>
      </c>
      <c r="F1004" s="65">
        <v>9.400663927E9</v>
      </c>
      <c r="H1004" s="65" t="s">
        <v>1668</v>
      </c>
      <c r="I1004" s="65">
        <v>25000.0</v>
      </c>
    </row>
    <row r="1005" ht="22.5" hidden="1" customHeight="1">
      <c r="A1005" s="35">
        <v>46238.01888633102</v>
      </c>
      <c r="B1005" s="64">
        <v>45435.0</v>
      </c>
      <c r="C1005" s="65" t="s">
        <v>53</v>
      </c>
      <c r="D1005" s="65" t="s">
        <v>1669</v>
      </c>
      <c r="F1005" s="65">
        <v>9.961687759E9</v>
      </c>
      <c r="H1005" s="65" t="s">
        <v>1670</v>
      </c>
      <c r="I1005" s="65">
        <v>5000.0</v>
      </c>
    </row>
    <row r="1006" ht="22.5" hidden="1" customHeight="1">
      <c r="A1006" s="35">
        <v>46238.01966854167</v>
      </c>
      <c r="B1006" s="64">
        <v>45440.0</v>
      </c>
      <c r="C1006" s="65" t="s">
        <v>64</v>
      </c>
      <c r="D1006" s="65" t="s">
        <v>1671</v>
      </c>
      <c r="E1006" s="65" t="s">
        <v>1209</v>
      </c>
      <c r="F1006" s="65">
        <v>7.55047911E8</v>
      </c>
      <c r="H1006" s="65" t="s">
        <v>1672</v>
      </c>
      <c r="I1006" s="65">
        <v>5000.0</v>
      </c>
    </row>
    <row r="1007" ht="22.5" hidden="1" customHeight="1">
      <c r="A1007" s="35">
        <v>46238.02022802083</v>
      </c>
      <c r="B1007" s="64">
        <v>45440.0</v>
      </c>
      <c r="C1007" s="65" t="s">
        <v>50</v>
      </c>
      <c r="D1007" s="65" t="s">
        <v>1673</v>
      </c>
      <c r="F1007" s="65">
        <v>9.71558785313E11</v>
      </c>
      <c r="H1007" s="65" t="s">
        <v>1674</v>
      </c>
      <c r="I1007" s="65">
        <v>5000.0</v>
      </c>
    </row>
    <row r="1008" ht="22.5" hidden="1" customHeight="1">
      <c r="A1008" s="35">
        <v>46238.02084484954</v>
      </c>
      <c r="B1008" s="64">
        <v>45441.0</v>
      </c>
      <c r="C1008" s="65" t="s">
        <v>64</v>
      </c>
      <c r="D1008" s="65" t="s">
        <v>1675</v>
      </c>
      <c r="E1008" s="65" t="s">
        <v>1209</v>
      </c>
      <c r="F1008" s="65">
        <v>9.745420899E9</v>
      </c>
      <c r="H1008" s="65" t="s">
        <v>1676</v>
      </c>
      <c r="I1008" s="65">
        <v>25000.0</v>
      </c>
    </row>
    <row r="1009" ht="22.5" hidden="1" customHeight="1">
      <c r="A1009" s="35">
        <v>46238.02137592593</v>
      </c>
      <c r="B1009" s="64">
        <v>45441.0</v>
      </c>
      <c r="C1009" s="65" t="s">
        <v>64</v>
      </c>
      <c r="D1009" s="65" t="s">
        <v>1671</v>
      </c>
      <c r="F1009" s="65">
        <v>7.550117911E9</v>
      </c>
      <c r="H1009" s="65" t="s">
        <v>1677</v>
      </c>
      <c r="I1009" s="65">
        <v>5000.0</v>
      </c>
    </row>
    <row r="1010" ht="22.5" hidden="1" customHeight="1">
      <c r="A1010" s="35">
        <v>46238.02245917824</v>
      </c>
      <c r="B1010" s="64">
        <v>45446.0</v>
      </c>
      <c r="C1010" s="65" t="s">
        <v>53</v>
      </c>
      <c r="D1010" s="31" t="s">
        <v>54</v>
      </c>
      <c r="F1010" s="31">
        <v>9.995598693E9</v>
      </c>
      <c r="H1010" s="65" t="s">
        <v>1678</v>
      </c>
      <c r="I1010" s="65">
        <v>10500.0</v>
      </c>
    </row>
    <row r="1011" ht="22.5" hidden="1" customHeight="1">
      <c r="A1011" s="35">
        <v>46238.02290928241</v>
      </c>
      <c r="B1011" s="64">
        <v>45446.0</v>
      </c>
      <c r="C1011" s="65" t="s">
        <v>50</v>
      </c>
      <c r="D1011" s="31" t="s">
        <v>204</v>
      </c>
      <c r="F1011" s="31">
        <v>9.7430216158E10</v>
      </c>
      <c r="H1011" s="65" t="s">
        <v>1679</v>
      </c>
      <c r="I1011" s="65">
        <v>2000.0</v>
      </c>
    </row>
    <row r="1012" ht="22.5" hidden="1" customHeight="1">
      <c r="A1012" s="35">
        <v>46238.02374284722</v>
      </c>
      <c r="B1012" s="64">
        <v>45447.0</v>
      </c>
      <c r="C1012" s="65" t="s">
        <v>64</v>
      </c>
      <c r="D1012" s="65" t="s">
        <v>1680</v>
      </c>
      <c r="F1012" s="65">
        <v>8.5920613929E10</v>
      </c>
      <c r="H1012" s="65" t="s">
        <v>1681</v>
      </c>
      <c r="I1012" s="65">
        <v>18500.0</v>
      </c>
    </row>
    <row r="1013" ht="22.5" hidden="1" customHeight="1">
      <c r="A1013" s="35">
        <v>46238.024267650464</v>
      </c>
      <c r="B1013" s="64">
        <v>45449.0</v>
      </c>
      <c r="C1013" s="65" t="s">
        <v>50</v>
      </c>
      <c r="D1013" s="65" t="s">
        <v>1612</v>
      </c>
      <c r="F1013" s="65">
        <v>9.71545605706E11</v>
      </c>
      <c r="H1013" s="65" t="s">
        <v>1682</v>
      </c>
      <c r="I1013" s="65">
        <v>15000.0</v>
      </c>
    </row>
    <row r="1014" ht="22.5" hidden="1" customHeight="1">
      <c r="A1014" s="35">
        <v>46238.02491777777</v>
      </c>
      <c r="B1014" s="64">
        <v>45450.0</v>
      </c>
      <c r="C1014" s="65" t="s">
        <v>64</v>
      </c>
      <c r="D1014" s="65" t="s">
        <v>1683</v>
      </c>
      <c r="F1014" s="65">
        <v>9.89527027E9</v>
      </c>
      <c r="H1014" s="65" t="s">
        <v>1684</v>
      </c>
      <c r="I1014" s="65">
        <v>2500.0</v>
      </c>
    </row>
    <row r="1015" ht="22.5" hidden="1" customHeight="1">
      <c r="A1015" s="35">
        <v>46238.02529302084</v>
      </c>
      <c r="B1015" s="64">
        <v>45451.0</v>
      </c>
      <c r="C1015" s="65" t="s">
        <v>53</v>
      </c>
      <c r="D1015" s="31" t="s">
        <v>59</v>
      </c>
      <c r="F1015" s="31">
        <v>8.606781572E9</v>
      </c>
      <c r="H1015" s="65" t="s">
        <v>1685</v>
      </c>
      <c r="I1015" s="65">
        <v>2500.0</v>
      </c>
    </row>
    <row r="1016" ht="22.5" hidden="1" customHeight="1">
      <c r="A1016" s="35">
        <v>46238.02611082176</v>
      </c>
      <c r="B1016" s="64">
        <v>45455.0</v>
      </c>
      <c r="C1016" s="65" t="s">
        <v>53</v>
      </c>
      <c r="D1016" s="33" t="s">
        <v>68</v>
      </c>
      <c r="F1016" s="31">
        <v>9.847880118E9</v>
      </c>
      <c r="H1016" s="65" t="s">
        <v>1686</v>
      </c>
      <c r="I1016" s="65">
        <v>2000.0</v>
      </c>
    </row>
    <row r="1017" ht="22.5" hidden="1" customHeight="1">
      <c r="A1017" s="35">
        <v>46238.028176458334</v>
      </c>
      <c r="B1017" s="64">
        <v>45459.0</v>
      </c>
      <c r="C1017" s="65" t="s">
        <v>53</v>
      </c>
      <c r="D1017" s="65" t="s">
        <v>1582</v>
      </c>
      <c r="F1017" s="65">
        <v>9.746021562E9</v>
      </c>
      <c r="H1017" s="65" t="s">
        <v>1687</v>
      </c>
      <c r="I1017" s="65">
        <v>1400.0</v>
      </c>
    </row>
    <row r="1018" ht="22.5" hidden="1" customHeight="1">
      <c r="A1018" s="35">
        <v>46238.02954023148</v>
      </c>
      <c r="B1018" s="64">
        <v>45463.0</v>
      </c>
      <c r="C1018" s="65" t="s">
        <v>64</v>
      </c>
      <c r="D1018" s="65" t="s">
        <v>1688</v>
      </c>
      <c r="E1018" s="65" t="s">
        <v>478</v>
      </c>
      <c r="H1018" s="65" t="s">
        <v>1689</v>
      </c>
      <c r="I1018" s="65">
        <v>3200.0</v>
      </c>
    </row>
    <row r="1019" ht="22.5" hidden="1" customHeight="1">
      <c r="A1019" s="35">
        <v>46238.02995125</v>
      </c>
      <c r="B1019" s="64">
        <v>45463.0</v>
      </c>
      <c r="C1019" s="65" t="s">
        <v>50</v>
      </c>
      <c r="D1019" s="65" t="s">
        <v>1690</v>
      </c>
      <c r="F1019" s="65">
        <v>8.547775577E9</v>
      </c>
      <c r="H1019" s="65" t="s">
        <v>1691</v>
      </c>
      <c r="I1019" s="65">
        <v>10000.0</v>
      </c>
    </row>
    <row r="1020" ht="22.5" hidden="1" customHeight="1">
      <c r="A1020" s="35">
        <v>46238.03032505787</v>
      </c>
      <c r="B1020" s="64">
        <v>45467.0</v>
      </c>
      <c r="C1020" s="65" t="s">
        <v>64</v>
      </c>
      <c r="D1020" s="65" t="s">
        <v>1488</v>
      </c>
      <c r="F1020" s="65">
        <v>9.89527027E9</v>
      </c>
      <c r="H1020" s="65" t="s">
        <v>1692</v>
      </c>
      <c r="I1020" s="65">
        <v>2500.0</v>
      </c>
    </row>
    <row r="1021" ht="22.5" hidden="1" customHeight="1">
      <c r="A1021" s="35">
        <v>46238.03077991898</v>
      </c>
      <c r="B1021" s="64">
        <v>45467.0</v>
      </c>
      <c r="C1021" s="65" t="s">
        <v>53</v>
      </c>
      <c r="D1021" s="29" t="s">
        <v>57</v>
      </c>
      <c r="F1021" s="31">
        <v>8.943021829E9</v>
      </c>
      <c r="H1021" s="65" t="s">
        <v>1693</v>
      </c>
      <c r="I1021" s="65">
        <v>2000.0</v>
      </c>
    </row>
    <row r="1022" ht="22.5" hidden="1" customHeight="1">
      <c r="A1022" s="35">
        <v>46238.031836469905</v>
      </c>
      <c r="B1022" s="64">
        <v>45468.0</v>
      </c>
      <c r="C1022" s="65" t="s">
        <v>64</v>
      </c>
      <c r="D1022" s="65" t="s">
        <v>1694</v>
      </c>
      <c r="E1022" s="65" t="s">
        <v>277</v>
      </c>
      <c r="F1022" s="65">
        <v>9.946745547E9</v>
      </c>
      <c r="H1022" s="65" t="s">
        <v>1695</v>
      </c>
      <c r="I1022" s="65">
        <v>5000.0</v>
      </c>
    </row>
    <row r="1023" ht="22.5" hidden="1" customHeight="1">
      <c r="A1023" s="35">
        <v>46238.032186111115</v>
      </c>
      <c r="B1023" s="64">
        <v>45469.0</v>
      </c>
      <c r="C1023" s="65" t="s">
        <v>53</v>
      </c>
      <c r="D1023" s="65" t="s">
        <v>1696</v>
      </c>
      <c r="F1023" s="65">
        <v>9.656859143E9</v>
      </c>
      <c r="H1023" s="65" t="s">
        <v>1697</v>
      </c>
      <c r="I1023" s="65">
        <v>15000.0</v>
      </c>
    </row>
    <row r="1024" ht="22.5" hidden="1" customHeight="1">
      <c r="A1024" s="35">
        <v>46238.03263315972</v>
      </c>
      <c r="B1024" s="64">
        <v>45469.0</v>
      </c>
      <c r="C1024" s="65" t="s">
        <v>53</v>
      </c>
      <c r="D1024" s="65" t="s">
        <v>1698</v>
      </c>
      <c r="F1024" s="65">
        <v>9.446005483E9</v>
      </c>
      <c r="H1024" s="65" t="s">
        <v>1699</v>
      </c>
      <c r="I1024" s="65">
        <v>25000.0</v>
      </c>
    </row>
    <row r="1025" ht="22.5" hidden="1" customHeight="1">
      <c r="A1025" s="35">
        <v>46238.03378204862</v>
      </c>
      <c r="B1025" s="64">
        <v>45475.0</v>
      </c>
      <c r="C1025" s="65" t="s">
        <v>53</v>
      </c>
      <c r="D1025" s="31" t="s">
        <v>59</v>
      </c>
      <c r="F1025" s="31">
        <v>8.606781572E9</v>
      </c>
      <c r="H1025" s="65" t="s">
        <v>1700</v>
      </c>
      <c r="I1025" s="65">
        <v>2500.0</v>
      </c>
    </row>
    <row r="1026" ht="22.5" hidden="1" customHeight="1">
      <c r="A1026" s="35">
        <v>46238.034127754625</v>
      </c>
      <c r="B1026" s="64">
        <v>45475.0</v>
      </c>
      <c r="C1026" s="65" t="s">
        <v>53</v>
      </c>
      <c r="D1026" s="31" t="s">
        <v>54</v>
      </c>
      <c r="F1026" s="31">
        <v>9.995598693E9</v>
      </c>
      <c r="H1026" s="65" t="s">
        <v>1701</v>
      </c>
      <c r="I1026" s="65">
        <v>10500.0</v>
      </c>
    </row>
    <row r="1027" ht="22.5" hidden="1" customHeight="1">
      <c r="A1027" s="35">
        <v>46238.03475505787</v>
      </c>
      <c r="B1027" s="64">
        <v>45481.0</v>
      </c>
      <c r="C1027" s="65" t="s">
        <v>64</v>
      </c>
      <c r="D1027" s="65" t="s">
        <v>1702</v>
      </c>
      <c r="F1027" s="65">
        <v>9.072936343E9</v>
      </c>
      <c r="H1027" s="65" t="s">
        <v>1703</v>
      </c>
      <c r="I1027" s="65">
        <v>25000.0</v>
      </c>
    </row>
    <row r="1028" ht="22.5" hidden="1" customHeight="1">
      <c r="A1028" s="35">
        <v>46238.03513005787</v>
      </c>
      <c r="B1028" s="64">
        <v>45483.0</v>
      </c>
      <c r="C1028" s="65" t="s">
        <v>53</v>
      </c>
      <c r="D1028" s="29" t="s">
        <v>57</v>
      </c>
      <c r="F1028" s="31">
        <v>8.943021829E9</v>
      </c>
      <c r="H1028" s="65" t="s">
        <v>1704</v>
      </c>
      <c r="I1028" s="65">
        <v>2000.0</v>
      </c>
    </row>
    <row r="1029" ht="22.5" hidden="1" customHeight="1">
      <c r="A1029" s="35">
        <v>46238.03636054398</v>
      </c>
      <c r="B1029" s="64">
        <v>45484.0</v>
      </c>
      <c r="C1029" s="65" t="s">
        <v>50</v>
      </c>
      <c r="D1029" s="65" t="s">
        <v>1705</v>
      </c>
      <c r="F1029" s="65">
        <v>9.605772727E9</v>
      </c>
      <c r="H1029" s="65" t="s">
        <v>1706</v>
      </c>
      <c r="I1029" s="65">
        <v>2000.0</v>
      </c>
    </row>
    <row r="1030" ht="22.5" hidden="1" customHeight="1">
      <c r="A1030" s="35">
        <v>46238.036670092595</v>
      </c>
      <c r="B1030" s="64">
        <v>45485.0</v>
      </c>
      <c r="C1030" s="65" t="s">
        <v>53</v>
      </c>
      <c r="D1030" s="65" t="s">
        <v>1707</v>
      </c>
      <c r="F1030" s="65">
        <v>9.400861531E9</v>
      </c>
      <c r="H1030" s="65" t="s">
        <v>1708</v>
      </c>
      <c r="I1030" s="65">
        <v>5000.0</v>
      </c>
    </row>
    <row r="1031" ht="22.5" hidden="1" customHeight="1">
      <c r="A1031" s="35">
        <v>46238.03730689815</v>
      </c>
      <c r="B1031" s="64">
        <v>45485.0</v>
      </c>
      <c r="C1031" s="65" t="s">
        <v>53</v>
      </c>
      <c r="D1031" s="65" t="s">
        <v>1709</v>
      </c>
      <c r="F1031" s="65">
        <v>9.048793138E9</v>
      </c>
      <c r="H1031" s="65" t="s">
        <v>1710</v>
      </c>
      <c r="I1031" s="65">
        <v>10000.0</v>
      </c>
    </row>
    <row r="1032" ht="22.5" hidden="1" customHeight="1">
      <c r="A1032" s="35">
        <v>46238.03788505787</v>
      </c>
      <c r="B1032" s="64">
        <v>45488.0</v>
      </c>
      <c r="C1032" s="65" t="s">
        <v>64</v>
      </c>
      <c r="D1032" s="65" t="s">
        <v>1711</v>
      </c>
      <c r="F1032" s="65">
        <v>9.04815369E9</v>
      </c>
      <c r="H1032" s="65" t="s">
        <v>1712</v>
      </c>
      <c r="I1032" s="65">
        <v>10000.0</v>
      </c>
    </row>
    <row r="1033" ht="22.5" hidden="1" customHeight="1">
      <c r="A1033" s="35">
        <v>46238.03875175926</v>
      </c>
      <c r="B1033" s="64">
        <v>45488.0</v>
      </c>
      <c r="C1033" s="65" t="s">
        <v>64</v>
      </c>
      <c r="D1033" s="65" t="s">
        <v>1688</v>
      </c>
      <c r="E1033" s="65" t="s">
        <v>981</v>
      </c>
      <c r="F1033" s="65">
        <v>6.89586342E9</v>
      </c>
      <c r="G1033" s="65">
        <v>9.746718866E9</v>
      </c>
      <c r="H1033" s="65" t="s">
        <v>1713</v>
      </c>
      <c r="I1033" s="65">
        <v>3640.0</v>
      </c>
    </row>
    <row r="1034" ht="22.5" hidden="1" customHeight="1">
      <c r="A1034" s="35">
        <v>46238.03912498843</v>
      </c>
      <c r="B1034" s="64">
        <v>45490.0</v>
      </c>
      <c r="C1034" s="65" t="s">
        <v>53</v>
      </c>
      <c r="D1034" s="65" t="s">
        <v>1714</v>
      </c>
      <c r="F1034" s="65">
        <v>8.086949216E9</v>
      </c>
      <c r="H1034" s="65" t="s">
        <v>1715</v>
      </c>
      <c r="I1034" s="65">
        <v>25000.0</v>
      </c>
    </row>
    <row r="1035" ht="22.5" hidden="1" customHeight="1">
      <c r="A1035" s="35">
        <v>46238.03955497685</v>
      </c>
      <c r="B1035" s="64">
        <v>45490.0</v>
      </c>
      <c r="C1035" s="65" t="s">
        <v>50</v>
      </c>
      <c r="D1035" s="65" t="s">
        <v>1635</v>
      </c>
      <c r="F1035" s="65">
        <v>9.63313078E9</v>
      </c>
      <c r="H1035" s="65" t="s">
        <v>1716</v>
      </c>
      <c r="I1035" s="65">
        <v>5000.0</v>
      </c>
    </row>
    <row r="1036" ht="22.5" hidden="1" customHeight="1">
      <c r="A1036" s="35">
        <v>46238.040038402774</v>
      </c>
      <c r="B1036" s="64">
        <v>45493.0</v>
      </c>
      <c r="C1036" s="65" t="s">
        <v>50</v>
      </c>
      <c r="D1036" s="31" t="s">
        <v>204</v>
      </c>
      <c r="F1036" s="31">
        <v>9.7430216158E10</v>
      </c>
      <c r="H1036" s="65" t="s">
        <v>1717</v>
      </c>
      <c r="I1036" s="65">
        <v>2000.0</v>
      </c>
    </row>
    <row r="1037" ht="22.5" hidden="1" customHeight="1">
      <c r="A1037" s="35">
        <v>46238.04045934028</v>
      </c>
      <c r="B1037" s="64">
        <v>45496.0</v>
      </c>
      <c r="C1037" s="65" t="s">
        <v>64</v>
      </c>
      <c r="D1037" s="65" t="s">
        <v>1683</v>
      </c>
      <c r="F1037" s="65">
        <v>9.89527027E9</v>
      </c>
      <c r="H1037" s="65" t="s">
        <v>1718</v>
      </c>
      <c r="I1037" s="65">
        <v>2500.0</v>
      </c>
    </row>
    <row r="1038" ht="22.5" hidden="1" customHeight="1">
      <c r="A1038" s="35">
        <v>46238.040869965276</v>
      </c>
      <c r="B1038" s="64">
        <v>45499.0</v>
      </c>
      <c r="C1038" s="65" t="s">
        <v>50</v>
      </c>
      <c r="D1038" s="65" t="s">
        <v>1719</v>
      </c>
      <c r="F1038" s="65">
        <v>9.961060899E9</v>
      </c>
      <c r="H1038" s="65" t="s">
        <v>1720</v>
      </c>
      <c r="I1038" s="65">
        <v>2500.0</v>
      </c>
    </row>
    <row r="1039" ht="22.5" hidden="1" customHeight="1">
      <c r="A1039" s="35">
        <v>46238.0412920949</v>
      </c>
      <c r="B1039" s="64">
        <v>45506.0</v>
      </c>
      <c r="C1039" s="65" t="s">
        <v>53</v>
      </c>
      <c r="D1039" s="31" t="s">
        <v>54</v>
      </c>
      <c r="F1039" s="31">
        <v>9.995598693E9</v>
      </c>
      <c r="H1039" s="65" t="s">
        <v>1721</v>
      </c>
      <c r="I1039" s="65">
        <v>5000.0</v>
      </c>
    </row>
    <row r="1040" ht="22.5" hidden="1" customHeight="1">
      <c r="A1040" s="35">
        <v>46238.04159807871</v>
      </c>
      <c r="B1040" s="64">
        <v>45506.0</v>
      </c>
      <c r="C1040" s="65" t="s">
        <v>53</v>
      </c>
      <c r="D1040" s="31" t="s">
        <v>54</v>
      </c>
      <c r="F1040" s="31">
        <v>9.995598693E9</v>
      </c>
      <c r="H1040" s="65" t="s">
        <v>1722</v>
      </c>
      <c r="I1040" s="65">
        <v>5500.0</v>
      </c>
    </row>
    <row r="1041" ht="22.5" hidden="1" customHeight="1">
      <c r="A1041" s="35">
        <v>46238.04211239584</v>
      </c>
      <c r="B1041" s="64">
        <v>45506.0</v>
      </c>
      <c r="C1041" s="65" t="s">
        <v>53</v>
      </c>
      <c r="D1041" s="31" t="s">
        <v>59</v>
      </c>
      <c r="F1041" s="31">
        <v>8.606781572E9</v>
      </c>
      <c r="H1041" s="65" t="s">
        <v>1723</v>
      </c>
      <c r="I1041" s="65">
        <v>2500.0</v>
      </c>
    </row>
    <row r="1042" ht="22.5" hidden="1" customHeight="1">
      <c r="A1042" s="35">
        <v>46238.04249305556</v>
      </c>
      <c r="B1042" s="64">
        <v>45507.0</v>
      </c>
      <c r="C1042" s="65" t="s">
        <v>64</v>
      </c>
      <c r="D1042" s="65" t="s">
        <v>1724</v>
      </c>
      <c r="F1042" s="65">
        <v>7.909129594E9</v>
      </c>
      <c r="H1042" s="65" t="s">
        <v>1725</v>
      </c>
      <c r="I1042" s="65">
        <v>5000.0</v>
      </c>
    </row>
    <row r="1043" ht="22.5" hidden="1" customHeight="1">
      <c r="A1043" s="35">
        <v>46238.04285162037</v>
      </c>
      <c r="B1043" s="64">
        <v>45514.0</v>
      </c>
      <c r="C1043" s="65" t="s">
        <v>64</v>
      </c>
      <c r="D1043" s="65" t="s">
        <v>1726</v>
      </c>
      <c r="F1043" s="65">
        <v>9.605467158E9</v>
      </c>
      <c r="H1043" s="65" t="s">
        <v>1727</v>
      </c>
      <c r="I1043" s="65">
        <v>5000.0</v>
      </c>
    </row>
    <row r="1044" ht="22.5" hidden="1" customHeight="1">
      <c r="A1044" s="35">
        <v>46238.04323340278</v>
      </c>
      <c r="B1044" s="64">
        <v>45517.0</v>
      </c>
      <c r="C1044" s="65" t="s">
        <v>53</v>
      </c>
      <c r="D1044" s="29" t="s">
        <v>57</v>
      </c>
      <c r="F1044" s="31">
        <v>8.943021829E9</v>
      </c>
      <c r="H1044" s="65" t="s">
        <v>1728</v>
      </c>
      <c r="I1044" s="65">
        <v>2000.0</v>
      </c>
    </row>
    <row r="1045" ht="22.5" hidden="1" customHeight="1">
      <c r="A1045" s="35">
        <v>46238.04356277778</v>
      </c>
      <c r="B1045" s="64">
        <v>45518.0</v>
      </c>
      <c r="C1045" s="65" t="s">
        <v>53</v>
      </c>
      <c r="D1045" s="65" t="s">
        <v>1729</v>
      </c>
      <c r="F1045" s="65">
        <v>7.994571166E9</v>
      </c>
      <c r="H1045" s="65" t="s">
        <v>1730</v>
      </c>
      <c r="I1045" s="65">
        <v>2000.0</v>
      </c>
    </row>
    <row r="1046" ht="22.5" hidden="1" customHeight="1">
      <c r="A1046" s="35">
        <v>46238.04408502315</v>
      </c>
      <c r="B1046" s="64">
        <v>45519.0</v>
      </c>
      <c r="C1046" s="65" t="s">
        <v>50</v>
      </c>
      <c r="D1046" s="65" t="s">
        <v>1731</v>
      </c>
      <c r="F1046" s="65">
        <v>9.895737977E9</v>
      </c>
      <c r="H1046" s="65" t="s">
        <v>1732</v>
      </c>
      <c r="I1046" s="65">
        <v>25000.0</v>
      </c>
    </row>
    <row r="1047" ht="22.5" hidden="1" customHeight="1">
      <c r="A1047" s="35">
        <v>46238.04455142361</v>
      </c>
      <c r="B1047" s="64">
        <v>45520.0</v>
      </c>
      <c r="C1047" s="65" t="s">
        <v>53</v>
      </c>
      <c r="D1047" s="65" t="s">
        <v>725</v>
      </c>
      <c r="F1047" s="65">
        <v>6.282443021E9</v>
      </c>
      <c r="H1047" s="65" t="s">
        <v>1733</v>
      </c>
      <c r="I1047" s="65">
        <v>2500.0</v>
      </c>
    </row>
    <row r="1048" ht="22.5" hidden="1" customHeight="1">
      <c r="A1048" s="35">
        <v>46238.04496672454</v>
      </c>
      <c r="B1048" s="64">
        <v>45522.0</v>
      </c>
      <c r="C1048" s="65" t="s">
        <v>50</v>
      </c>
      <c r="D1048" s="31" t="s">
        <v>204</v>
      </c>
      <c r="F1048" s="31">
        <v>9.7430216158E10</v>
      </c>
      <c r="H1048" s="65" t="s">
        <v>1734</v>
      </c>
      <c r="I1048" s="65">
        <v>2000.0</v>
      </c>
    </row>
    <row r="1049" ht="22.5" hidden="1" customHeight="1">
      <c r="A1049" s="35">
        <v>46238.04534271991</v>
      </c>
      <c r="B1049" s="64">
        <v>45523.0</v>
      </c>
      <c r="C1049" s="65" t="s">
        <v>53</v>
      </c>
      <c r="D1049" s="65" t="s">
        <v>1735</v>
      </c>
      <c r="F1049" s="65">
        <v>9.778727235E9</v>
      </c>
      <c r="H1049" s="65" t="s">
        <v>1736</v>
      </c>
      <c r="I1049" s="65">
        <v>5000.0</v>
      </c>
    </row>
    <row r="1050" ht="22.5" hidden="1" customHeight="1">
      <c r="A1050" s="35">
        <v>46238.04601539352</v>
      </c>
      <c r="B1050" s="64">
        <v>45524.0</v>
      </c>
      <c r="C1050" s="65" t="s">
        <v>64</v>
      </c>
      <c r="D1050" s="65" t="s">
        <v>1071</v>
      </c>
      <c r="E1050" s="65" t="s">
        <v>478</v>
      </c>
      <c r="F1050" s="65">
        <v>6.89586342E9</v>
      </c>
      <c r="H1050" s="65" t="s">
        <v>1737</v>
      </c>
      <c r="I1050" s="65">
        <v>3000.0</v>
      </c>
    </row>
    <row r="1051" ht="22.5" hidden="1" customHeight="1">
      <c r="A1051" s="35">
        <v>46238.04711024306</v>
      </c>
      <c r="B1051" s="64">
        <v>45529.0</v>
      </c>
      <c r="C1051" s="65" t="s">
        <v>64</v>
      </c>
      <c r="D1051" s="65" t="s">
        <v>169</v>
      </c>
      <c r="E1051" s="65" t="s">
        <v>913</v>
      </c>
      <c r="F1051" s="65">
        <v>9.207339557E9</v>
      </c>
      <c r="H1051" s="65" t="s">
        <v>1738</v>
      </c>
      <c r="I1051" s="65">
        <v>5000.0</v>
      </c>
    </row>
    <row r="1052" ht="22.5" hidden="1" customHeight="1">
      <c r="A1052" s="35">
        <v>46238.04792866898</v>
      </c>
      <c r="B1052" s="64">
        <v>45531.0</v>
      </c>
      <c r="C1052" s="65" t="s">
        <v>53</v>
      </c>
      <c r="D1052" s="65" t="s">
        <v>1739</v>
      </c>
      <c r="F1052" s="65">
        <v>9.072910261E9</v>
      </c>
      <c r="H1052" s="65" t="s">
        <v>1740</v>
      </c>
      <c r="I1052" s="65">
        <v>25000.0</v>
      </c>
    </row>
    <row r="1053" ht="22.5" hidden="1" customHeight="1">
      <c r="A1053" s="35">
        <v>46238.048646724536</v>
      </c>
      <c r="B1053" s="64">
        <v>45536.0</v>
      </c>
      <c r="C1053" s="65" t="s">
        <v>64</v>
      </c>
      <c r="D1053" s="65" t="s">
        <v>1741</v>
      </c>
      <c r="F1053" s="65">
        <v>8.606006881E9</v>
      </c>
      <c r="H1053" s="65" t="s">
        <v>1742</v>
      </c>
      <c r="I1053" s="65">
        <v>5000.0</v>
      </c>
    </row>
    <row r="1054" ht="22.5" hidden="1" customHeight="1">
      <c r="A1054" s="35">
        <v>46238.04910318287</v>
      </c>
      <c r="B1054" s="64">
        <v>45536.0</v>
      </c>
      <c r="C1054" s="65" t="s">
        <v>64</v>
      </c>
      <c r="D1054" s="65" t="s">
        <v>1743</v>
      </c>
      <c r="F1054" s="65">
        <v>9.061349213E9</v>
      </c>
      <c r="H1054" s="65" t="s">
        <v>1744</v>
      </c>
      <c r="I1054" s="65">
        <v>5000.0</v>
      </c>
    </row>
    <row r="1055" ht="22.5" hidden="1" customHeight="1">
      <c r="A1055" s="35">
        <v>46238.04962568287</v>
      </c>
      <c r="B1055" s="64">
        <v>45536.0</v>
      </c>
      <c r="C1055" s="65" t="s">
        <v>64</v>
      </c>
      <c r="D1055" s="65" t="s">
        <v>1743</v>
      </c>
      <c r="F1055" s="65">
        <v>9.061349213E9</v>
      </c>
      <c r="H1055" s="65" t="s">
        <v>1745</v>
      </c>
      <c r="I1055" s="65">
        <v>1000.0</v>
      </c>
    </row>
    <row r="1056" ht="22.5" hidden="1" customHeight="1">
      <c r="A1056" s="35">
        <v>46238.05084810185</v>
      </c>
      <c r="B1056" s="64">
        <v>45537.0</v>
      </c>
      <c r="C1056" s="65" t="s">
        <v>50</v>
      </c>
      <c r="D1056" s="31" t="s">
        <v>204</v>
      </c>
      <c r="F1056" s="31">
        <v>9.7430216158E10</v>
      </c>
      <c r="H1056" s="65" t="s">
        <v>1746</v>
      </c>
      <c r="I1056" s="65">
        <v>2000.0</v>
      </c>
    </row>
    <row r="1057" ht="22.5" hidden="1" customHeight="1">
      <c r="A1057" s="35">
        <v>46238.05127164352</v>
      </c>
      <c r="B1057" s="64">
        <v>45538.0</v>
      </c>
      <c r="C1057" s="65" t="s">
        <v>53</v>
      </c>
      <c r="D1057" s="31" t="s">
        <v>54</v>
      </c>
      <c r="F1057" s="31">
        <v>9.995598693E9</v>
      </c>
      <c r="H1057" s="65" t="s">
        <v>1747</v>
      </c>
      <c r="I1057" s="65">
        <v>10500.0</v>
      </c>
    </row>
    <row r="1058" ht="22.5" hidden="1" customHeight="1">
      <c r="A1058" s="35">
        <v>46238.05326644676</v>
      </c>
      <c r="B1058" s="64">
        <v>45539.0</v>
      </c>
      <c r="C1058" s="65" t="s">
        <v>53</v>
      </c>
      <c r="D1058" s="31" t="s">
        <v>59</v>
      </c>
      <c r="F1058" s="31">
        <v>8.606781572E9</v>
      </c>
      <c r="H1058" s="65" t="s">
        <v>1748</v>
      </c>
      <c r="I1058" s="65">
        <v>2500.0</v>
      </c>
    </row>
    <row r="1059" ht="22.5" hidden="1" customHeight="1">
      <c r="A1059" s="35">
        <v>46238.05402782407</v>
      </c>
      <c r="B1059" s="64">
        <v>45540.0</v>
      </c>
      <c r="C1059" s="65" t="s">
        <v>53</v>
      </c>
      <c r="D1059" s="65" t="s">
        <v>1389</v>
      </c>
      <c r="F1059" s="65">
        <v>9.400861531E9</v>
      </c>
      <c r="H1059" s="65" t="s">
        <v>1749</v>
      </c>
      <c r="I1059" s="65">
        <v>2000.0</v>
      </c>
    </row>
    <row r="1060" ht="22.5" hidden="1" customHeight="1">
      <c r="A1060" s="35">
        <v>46238.054430613425</v>
      </c>
      <c r="B1060" s="64">
        <v>45540.0</v>
      </c>
      <c r="C1060" s="65" t="s">
        <v>53</v>
      </c>
      <c r="D1060" s="65" t="s">
        <v>1750</v>
      </c>
      <c r="F1060" s="65">
        <v>6.235536872E9</v>
      </c>
      <c r="H1060" s="65" t="s">
        <v>1751</v>
      </c>
      <c r="I1060" s="65">
        <v>2800.0</v>
      </c>
    </row>
    <row r="1061" ht="22.5" hidden="1" customHeight="1">
      <c r="A1061" s="35">
        <v>46238.05539524306</v>
      </c>
      <c r="B1061" s="64">
        <v>45541.0</v>
      </c>
      <c r="C1061" s="65" t="s">
        <v>64</v>
      </c>
      <c r="D1061" s="65" t="s">
        <v>1531</v>
      </c>
      <c r="F1061" s="65">
        <v>9.56733864E9</v>
      </c>
      <c r="H1061" s="65" t="s">
        <v>1752</v>
      </c>
      <c r="I1061" s="65">
        <v>5000.0</v>
      </c>
    </row>
    <row r="1062" ht="22.5" hidden="1" customHeight="1">
      <c r="A1062" s="35">
        <v>46238.05623883102</v>
      </c>
      <c r="B1062" s="64">
        <v>45541.0</v>
      </c>
      <c r="C1062" s="65" t="s">
        <v>53</v>
      </c>
      <c r="D1062" s="29" t="s">
        <v>57</v>
      </c>
      <c r="F1062" s="31">
        <v>8.943021829E9</v>
      </c>
      <c r="H1062" s="65" t="s">
        <v>1753</v>
      </c>
      <c r="I1062" s="65">
        <v>2000.0</v>
      </c>
    </row>
    <row r="1063" ht="22.5" hidden="1" customHeight="1">
      <c r="A1063" s="35">
        <v>46238.05677767361</v>
      </c>
      <c r="B1063" s="64">
        <v>45547.0</v>
      </c>
      <c r="C1063" s="65" t="s">
        <v>64</v>
      </c>
      <c r="D1063" s="65" t="s">
        <v>1754</v>
      </c>
      <c r="F1063" s="65">
        <v>9.89527027E9</v>
      </c>
      <c r="H1063" s="65" t="s">
        <v>1755</v>
      </c>
      <c r="I1063" s="65">
        <v>2000.0</v>
      </c>
    </row>
    <row r="1064" ht="22.5" hidden="1" customHeight="1">
      <c r="A1064" s="35">
        <v>46238.05728946759</v>
      </c>
      <c r="B1064" s="64">
        <v>45548.0</v>
      </c>
      <c r="C1064" s="65" t="s">
        <v>64</v>
      </c>
      <c r="D1064" s="65" t="s">
        <v>1756</v>
      </c>
      <c r="E1064" s="65" t="s">
        <v>981</v>
      </c>
      <c r="F1064" s="65">
        <v>6.89586342E9</v>
      </c>
      <c r="H1064" s="65" t="s">
        <v>1757</v>
      </c>
      <c r="I1064" s="65">
        <v>2000.0</v>
      </c>
    </row>
    <row r="1065" ht="22.5" hidden="1" customHeight="1">
      <c r="A1065" s="35">
        <v>46238.05856893519</v>
      </c>
      <c r="B1065" s="64">
        <v>45548.0</v>
      </c>
      <c r="C1065" s="65" t="s">
        <v>53</v>
      </c>
      <c r="D1065" s="65" t="s">
        <v>68</v>
      </c>
      <c r="F1065" s="31">
        <v>9.847880118E9</v>
      </c>
      <c r="H1065" s="65" t="s">
        <v>1758</v>
      </c>
      <c r="I1065" s="65">
        <v>2000.0</v>
      </c>
    </row>
    <row r="1066" ht="22.5" hidden="1" customHeight="1">
      <c r="A1066" s="35">
        <v>46238.05905026621</v>
      </c>
      <c r="B1066" s="64">
        <v>45551.0</v>
      </c>
      <c r="C1066" s="65" t="s">
        <v>53</v>
      </c>
      <c r="D1066" s="65" t="s">
        <v>1759</v>
      </c>
      <c r="F1066" s="65">
        <v>9.947638631E9</v>
      </c>
      <c r="H1066" s="65" t="s">
        <v>1760</v>
      </c>
      <c r="I1066" s="65">
        <v>10000.0</v>
      </c>
    </row>
    <row r="1067" ht="22.5" hidden="1" customHeight="1">
      <c r="A1067" s="35">
        <v>46238.06047653935</v>
      </c>
      <c r="B1067" s="64">
        <v>45556.0</v>
      </c>
      <c r="C1067" s="65" t="s">
        <v>64</v>
      </c>
      <c r="D1067" s="65" t="s">
        <v>1761</v>
      </c>
      <c r="F1067" s="65">
        <v>9.745384929E9</v>
      </c>
      <c r="H1067" s="65" t="s">
        <v>1762</v>
      </c>
      <c r="I1067" s="65">
        <v>5000.0</v>
      </c>
    </row>
    <row r="1068" ht="22.5" hidden="1" customHeight="1">
      <c r="A1068" s="35">
        <v>46238.06102570602</v>
      </c>
      <c r="B1068" s="64">
        <v>45556.0</v>
      </c>
      <c r="C1068" s="65" t="s">
        <v>64</v>
      </c>
      <c r="D1068" s="65" t="s">
        <v>1761</v>
      </c>
      <c r="F1068" s="65">
        <v>9.745384929E9</v>
      </c>
      <c r="H1068" s="65" t="s">
        <v>1763</v>
      </c>
      <c r="I1068" s="65">
        <v>20000.0</v>
      </c>
    </row>
    <row r="1069" ht="22.5" hidden="1" customHeight="1">
      <c r="A1069" s="35">
        <v>46238.06154023148</v>
      </c>
      <c r="B1069" s="64">
        <v>45556.0</v>
      </c>
      <c r="C1069" s="65" t="s">
        <v>53</v>
      </c>
      <c r="D1069" s="65" t="s">
        <v>1764</v>
      </c>
      <c r="F1069" s="65">
        <v>7.306475709E9</v>
      </c>
      <c r="H1069" s="65" t="s">
        <v>1765</v>
      </c>
      <c r="I1069" s="65">
        <v>2000.0</v>
      </c>
    </row>
    <row r="1070" ht="22.5" hidden="1" customHeight="1">
      <c r="A1070" s="35">
        <v>46238.06196015046</v>
      </c>
      <c r="B1070" s="64">
        <v>45557.0</v>
      </c>
      <c r="C1070" s="65" t="s">
        <v>50</v>
      </c>
      <c r="D1070" s="65" t="s">
        <v>1690</v>
      </c>
      <c r="F1070" s="65">
        <v>9.746828E9</v>
      </c>
      <c r="H1070" s="65" t="s">
        <v>1766</v>
      </c>
      <c r="I1070" s="65">
        <v>12500.0</v>
      </c>
    </row>
    <row r="1071" ht="22.5" hidden="1" customHeight="1">
      <c r="A1071" s="35">
        <v>46238.06236310185</v>
      </c>
      <c r="B1071" s="64">
        <v>45564.0</v>
      </c>
      <c r="C1071" s="65" t="s">
        <v>53</v>
      </c>
      <c r="D1071" s="65" t="s">
        <v>1767</v>
      </c>
      <c r="F1071" s="65">
        <v>8.94386426E9</v>
      </c>
      <c r="H1071" s="65" t="s">
        <v>1768</v>
      </c>
      <c r="I1071" s="65">
        <v>500.0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4" max="4" width="22.0"/>
    <col customWidth="1" min="5" max="5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 t="s">
        <v>6</v>
      </c>
      <c r="AK1" s="6" t="s">
        <v>7</v>
      </c>
      <c r="AL1" s="6" t="s">
        <v>8</v>
      </c>
      <c r="AM1" s="1" t="s">
        <v>9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</row>
    <row r="2">
      <c r="A2" s="8"/>
      <c r="B2" s="8"/>
      <c r="C2" s="8"/>
      <c r="D2" s="8"/>
      <c r="E2" s="8"/>
      <c r="F2" s="2" t="s">
        <v>10</v>
      </c>
      <c r="G2" s="3"/>
      <c r="H2" s="4"/>
      <c r="I2" s="2" t="s">
        <v>11</v>
      </c>
      <c r="J2" s="3"/>
      <c r="K2" s="4"/>
      <c r="L2" s="9" t="s">
        <v>12</v>
      </c>
      <c r="M2" s="9" t="s">
        <v>13</v>
      </c>
      <c r="N2" s="9" t="s">
        <v>12</v>
      </c>
      <c r="O2" s="9" t="s">
        <v>13</v>
      </c>
      <c r="P2" s="9" t="s">
        <v>12</v>
      </c>
      <c r="Q2" s="9" t="s">
        <v>13</v>
      </c>
      <c r="R2" s="9" t="s">
        <v>12</v>
      </c>
      <c r="S2" s="9" t="s">
        <v>13</v>
      </c>
      <c r="T2" s="9" t="s">
        <v>12</v>
      </c>
      <c r="U2" s="9" t="s">
        <v>13</v>
      </c>
      <c r="V2" s="9" t="s">
        <v>12</v>
      </c>
      <c r="W2" s="9" t="s">
        <v>13</v>
      </c>
      <c r="X2" s="9" t="s">
        <v>12</v>
      </c>
      <c r="Y2" s="9" t="s">
        <v>13</v>
      </c>
      <c r="Z2" s="9" t="s">
        <v>12</v>
      </c>
      <c r="AA2" s="9" t="s">
        <v>13</v>
      </c>
      <c r="AB2" s="9" t="s">
        <v>12</v>
      </c>
      <c r="AC2" s="9" t="s">
        <v>13</v>
      </c>
      <c r="AD2" s="9" t="s">
        <v>12</v>
      </c>
      <c r="AE2" s="9" t="s">
        <v>13</v>
      </c>
      <c r="AF2" s="9" t="s">
        <v>12</v>
      </c>
      <c r="AG2" s="9" t="s">
        <v>13</v>
      </c>
      <c r="AH2" s="9" t="s">
        <v>12</v>
      </c>
      <c r="AI2" s="9" t="s">
        <v>13</v>
      </c>
      <c r="AJ2" s="8"/>
      <c r="AK2" s="8"/>
      <c r="AL2" s="8"/>
      <c r="AM2" s="8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>
      <c r="A3" s="10"/>
      <c r="B3" s="10"/>
      <c r="C3" s="10"/>
      <c r="D3" s="10"/>
      <c r="E3" s="10"/>
      <c r="F3" s="11">
        <v>50000.0</v>
      </c>
      <c r="G3" s="11">
        <v>25000.0</v>
      </c>
      <c r="H3" s="11">
        <v>12500.0</v>
      </c>
      <c r="I3" s="11">
        <v>30000.0</v>
      </c>
      <c r="J3" s="11">
        <v>15000.0</v>
      </c>
      <c r="K3" s="11">
        <v>7500.0</v>
      </c>
      <c r="L3" s="12" t="s">
        <v>14</v>
      </c>
      <c r="M3" s="4"/>
      <c r="N3" s="12" t="s">
        <v>15</v>
      </c>
      <c r="O3" s="4"/>
      <c r="P3" s="12" t="s">
        <v>16</v>
      </c>
      <c r="Q3" s="4"/>
      <c r="R3" s="12" t="s">
        <v>17</v>
      </c>
      <c r="S3" s="4"/>
      <c r="T3" s="12" t="s">
        <v>18</v>
      </c>
      <c r="U3" s="4"/>
      <c r="V3" s="12" t="s">
        <v>19</v>
      </c>
      <c r="W3" s="4"/>
      <c r="X3" s="12" t="s">
        <v>20</v>
      </c>
      <c r="Y3" s="4"/>
      <c r="Z3" s="12" t="s">
        <v>21</v>
      </c>
      <c r="AA3" s="4"/>
      <c r="AB3" s="12" t="s">
        <v>22</v>
      </c>
      <c r="AC3" s="4"/>
      <c r="AD3" s="12" t="s">
        <v>23</v>
      </c>
      <c r="AE3" s="4"/>
      <c r="AF3" s="12" t="s">
        <v>24</v>
      </c>
      <c r="AG3" s="4"/>
      <c r="AH3" s="12" t="s">
        <v>25</v>
      </c>
      <c r="AI3" s="4"/>
      <c r="AJ3" s="10"/>
      <c r="AK3" s="10"/>
      <c r="AL3" s="10"/>
      <c r="AM3" s="10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>
      <c r="A4" s="13">
        <v>1.0</v>
      </c>
      <c r="B4" s="14">
        <v>46074.0</v>
      </c>
      <c r="C4" s="15" t="s">
        <v>26</v>
      </c>
      <c r="D4" s="15" t="s">
        <v>27</v>
      </c>
      <c r="E4" s="15">
        <v>9.349101232E9</v>
      </c>
      <c r="F4" s="16">
        <v>50000.0</v>
      </c>
      <c r="G4" s="17"/>
      <c r="H4" s="17"/>
      <c r="I4" s="17"/>
      <c r="J4" s="17"/>
      <c r="K4" s="1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18">
        <f t="shared" ref="AJ4:AJ61" si="1">sum(F4+G4+H4+I4+J4+K4)*1</f>
        <v>50000</v>
      </c>
      <c r="AK4" s="18">
        <f t="shared" ref="AK4:AK41" si="2">sum(L4+N4+P4+R4+T4+V4+X4+Z4+AB4+AD4+AF4+AH4)</f>
        <v>0</v>
      </c>
      <c r="AL4" s="18">
        <f t="shared" ref="AL4:AL41" si="3">sum(AJ4-AK4)</f>
        <v>50000</v>
      </c>
      <c r="AM4" s="5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>
      <c r="A5" s="13">
        <v>2.0</v>
      </c>
      <c r="B5" s="14">
        <v>46074.0</v>
      </c>
      <c r="C5" s="19" t="s">
        <v>28</v>
      </c>
      <c r="D5" s="19" t="s">
        <v>29</v>
      </c>
      <c r="E5" s="19">
        <v>7.33850024E9</v>
      </c>
      <c r="F5" s="17"/>
      <c r="G5" s="17"/>
      <c r="H5" s="20">
        <v>12500.0</v>
      </c>
      <c r="I5" s="17"/>
      <c r="J5" s="17"/>
      <c r="K5" s="1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8">
        <f t="shared" si="1"/>
        <v>12500</v>
      </c>
      <c r="AK5" s="18">
        <f t="shared" si="2"/>
        <v>0</v>
      </c>
      <c r="AL5" s="18">
        <f t="shared" si="3"/>
        <v>12500</v>
      </c>
      <c r="AM5" s="5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>
      <c r="A6" s="13">
        <v>3.0</v>
      </c>
      <c r="B6" s="14">
        <v>46074.0</v>
      </c>
      <c r="C6" s="19" t="s">
        <v>30</v>
      </c>
      <c r="D6" s="21" t="s">
        <v>31</v>
      </c>
      <c r="E6" s="19">
        <v>9.846099234E9</v>
      </c>
      <c r="F6" s="17"/>
      <c r="G6" s="17"/>
      <c r="H6" s="17"/>
      <c r="I6" s="17"/>
      <c r="J6" s="20">
        <v>15000.0</v>
      </c>
      <c r="K6" s="1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18">
        <f t="shared" si="1"/>
        <v>15000</v>
      </c>
      <c r="AK6" s="18">
        <f t="shared" si="2"/>
        <v>0</v>
      </c>
      <c r="AL6" s="18">
        <f t="shared" si="3"/>
        <v>15000</v>
      </c>
      <c r="AM6" s="5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>
      <c r="A7" s="13">
        <v>4.0</v>
      </c>
      <c r="B7" s="14">
        <v>46074.0</v>
      </c>
      <c r="C7" s="19" t="s">
        <v>32</v>
      </c>
      <c r="D7" s="19" t="s">
        <v>33</v>
      </c>
      <c r="E7" s="19">
        <v>9.74550851E9</v>
      </c>
      <c r="F7" s="17"/>
      <c r="G7" s="17"/>
      <c r="H7" s="17"/>
      <c r="I7" s="17"/>
      <c r="J7" s="20">
        <v>15000.0</v>
      </c>
      <c r="K7" s="17"/>
      <c r="L7" s="22">
        <v>5000.0</v>
      </c>
      <c r="M7" s="22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8">
        <f t="shared" si="1"/>
        <v>15000</v>
      </c>
      <c r="AK7" s="18">
        <f t="shared" si="2"/>
        <v>5000</v>
      </c>
      <c r="AL7" s="18">
        <f t="shared" si="3"/>
        <v>10000</v>
      </c>
      <c r="AM7" s="5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</row>
    <row r="8">
      <c r="A8" s="13">
        <v>5.0</v>
      </c>
      <c r="B8" s="14">
        <v>46074.0</v>
      </c>
      <c r="C8" s="19" t="s">
        <v>35</v>
      </c>
      <c r="D8" s="19" t="s">
        <v>37</v>
      </c>
      <c r="E8" s="19">
        <v>8.157996022E9</v>
      </c>
      <c r="F8" s="17"/>
      <c r="G8" s="17"/>
      <c r="H8" s="17"/>
      <c r="I8" s="20">
        <v>30000.0</v>
      </c>
      <c r="J8" s="17"/>
      <c r="K8" s="17"/>
      <c r="L8" s="22">
        <v>5000.0</v>
      </c>
      <c r="M8" s="22" t="s">
        <v>38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8">
        <f t="shared" si="1"/>
        <v>30000</v>
      </c>
      <c r="AK8" s="18">
        <f t="shared" si="2"/>
        <v>5000</v>
      </c>
      <c r="AL8" s="18">
        <f t="shared" si="3"/>
        <v>25000</v>
      </c>
      <c r="AM8" s="5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>
      <c r="A9" s="13">
        <v>6.0</v>
      </c>
      <c r="B9" s="14">
        <v>46074.0</v>
      </c>
      <c r="C9" s="19" t="s">
        <v>46</v>
      </c>
      <c r="D9" s="19" t="s">
        <v>48</v>
      </c>
      <c r="E9" s="19">
        <v>9.89527027E9</v>
      </c>
      <c r="F9" s="16">
        <v>50000.0</v>
      </c>
      <c r="G9" s="17"/>
      <c r="H9" s="17"/>
      <c r="I9" s="17"/>
      <c r="J9" s="17"/>
      <c r="K9" s="17"/>
      <c r="L9" s="22">
        <v>10000.0</v>
      </c>
      <c r="M9" s="22" t="s">
        <v>49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8">
        <f t="shared" si="1"/>
        <v>50000</v>
      </c>
      <c r="AK9" s="18">
        <f t="shared" si="2"/>
        <v>10000</v>
      </c>
      <c r="AL9" s="18">
        <f t="shared" si="3"/>
        <v>40000</v>
      </c>
      <c r="AM9" s="5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</row>
    <row r="10">
      <c r="A10" s="13">
        <v>7.0</v>
      </c>
      <c r="B10" s="14">
        <v>46074.0</v>
      </c>
      <c r="C10" s="19" t="s">
        <v>56</v>
      </c>
      <c r="D10" s="32"/>
      <c r="E10" s="19">
        <v>9.400833013E9</v>
      </c>
      <c r="F10" s="16">
        <v>50000.0</v>
      </c>
      <c r="G10" s="17"/>
      <c r="H10" s="17"/>
      <c r="I10" s="17"/>
      <c r="J10" s="17"/>
      <c r="K10" s="1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8">
        <f t="shared" si="1"/>
        <v>50000</v>
      </c>
      <c r="AK10" s="18">
        <f t="shared" si="2"/>
        <v>0</v>
      </c>
      <c r="AL10" s="18">
        <f t="shared" si="3"/>
        <v>50000</v>
      </c>
      <c r="AM10" s="5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</row>
    <row r="11">
      <c r="A11" s="13">
        <v>8.0</v>
      </c>
      <c r="B11" s="14">
        <v>46074.0</v>
      </c>
      <c r="C11" s="19" t="s">
        <v>60</v>
      </c>
      <c r="D11" s="19" t="s">
        <v>62</v>
      </c>
      <c r="E11" s="19">
        <v>9.447353249E9</v>
      </c>
      <c r="F11" s="20">
        <v>100000.0</v>
      </c>
      <c r="G11" s="17"/>
      <c r="H11" s="17"/>
      <c r="I11" s="20">
        <v>90000.0</v>
      </c>
      <c r="J11" s="17"/>
      <c r="K11" s="17"/>
      <c r="L11" s="22">
        <v>50000.0</v>
      </c>
      <c r="M11" s="22" t="s">
        <v>63</v>
      </c>
      <c r="N11" s="22">
        <v>44750.0</v>
      </c>
      <c r="O11" s="22" t="s">
        <v>65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8">
        <f t="shared" si="1"/>
        <v>190000</v>
      </c>
      <c r="AK11" s="18">
        <f t="shared" si="2"/>
        <v>94750</v>
      </c>
      <c r="AL11" s="18">
        <f t="shared" si="3"/>
        <v>95250</v>
      </c>
      <c r="AM11" s="5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</row>
    <row r="12">
      <c r="A12" s="13">
        <v>9.0</v>
      </c>
      <c r="B12" s="34">
        <v>46075.0</v>
      </c>
      <c r="C12" s="19" t="s">
        <v>69</v>
      </c>
      <c r="D12" s="19" t="s">
        <v>71</v>
      </c>
      <c r="E12" s="19">
        <v>9.846758732E9</v>
      </c>
      <c r="F12" s="17"/>
      <c r="G12" s="17"/>
      <c r="H12" s="20">
        <v>12500.0</v>
      </c>
      <c r="I12" s="17"/>
      <c r="J12" s="17"/>
      <c r="K12" s="1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8">
        <f t="shared" si="1"/>
        <v>12500</v>
      </c>
      <c r="AK12" s="18">
        <f t="shared" si="2"/>
        <v>0</v>
      </c>
      <c r="AL12" s="18">
        <f t="shared" si="3"/>
        <v>12500</v>
      </c>
      <c r="AM12" s="5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</row>
    <row r="13">
      <c r="A13" s="13">
        <v>10.0</v>
      </c>
      <c r="B13" s="34">
        <v>46075.0</v>
      </c>
      <c r="C13" s="19" t="s">
        <v>75</v>
      </c>
      <c r="D13" s="19" t="s">
        <v>76</v>
      </c>
      <c r="E13" s="19">
        <v>9.744002844E9</v>
      </c>
      <c r="F13" s="17"/>
      <c r="G13" s="17"/>
      <c r="H13" s="20">
        <v>12500.0</v>
      </c>
      <c r="I13" s="17"/>
      <c r="J13" s="17"/>
      <c r="K13" s="17"/>
      <c r="L13" s="22">
        <v>2000.0</v>
      </c>
      <c r="M13" s="22" t="s">
        <v>78</v>
      </c>
      <c r="N13" s="22">
        <v>2000.0</v>
      </c>
      <c r="O13" s="22" t="s">
        <v>79</v>
      </c>
      <c r="P13" s="22">
        <v>2001.0</v>
      </c>
      <c r="Q13" s="22" t="s">
        <v>80</v>
      </c>
      <c r="R13" s="22">
        <v>2000.0</v>
      </c>
      <c r="S13" s="22" t="s">
        <v>81</v>
      </c>
      <c r="T13" s="22">
        <v>4500.0</v>
      </c>
      <c r="U13" s="22" t="s">
        <v>82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8">
        <f t="shared" si="1"/>
        <v>12500</v>
      </c>
      <c r="AK13" s="18">
        <f t="shared" si="2"/>
        <v>12501</v>
      </c>
      <c r="AL13" s="18">
        <f t="shared" si="3"/>
        <v>-1</v>
      </c>
      <c r="AM13" s="5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</row>
    <row r="14">
      <c r="A14" s="13">
        <v>11.0</v>
      </c>
      <c r="B14" s="34">
        <v>46075.0</v>
      </c>
      <c r="C14" s="19" t="s">
        <v>86</v>
      </c>
      <c r="D14" s="21" t="s">
        <v>87</v>
      </c>
      <c r="E14" s="19">
        <v>9.847009495E9</v>
      </c>
      <c r="F14" s="17"/>
      <c r="G14" s="17"/>
      <c r="H14" s="17"/>
      <c r="I14" s="17"/>
      <c r="J14" s="17"/>
      <c r="K14" s="20">
        <v>7500.0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8">
        <f t="shared" si="1"/>
        <v>7500</v>
      </c>
      <c r="AK14" s="18">
        <f t="shared" si="2"/>
        <v>0</v>
      </c>
      <c r="AL14" s="18">
        <f t="shared" si="3"/>
        <v>7500</v>
      </c>
      <c r="AM14" s="5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</row>
    <row r="15">
      <c r="A15" s="13">
        <v>12.0</v>
      </c>
      <c r="B15" s="34">
        <v>46075.0</v>
      </c>
      <c r="C15" s="19" t="s">
        <v>92</v>
      </c>
      <c r="D15" s="19" t="s">
        <v>93</v>
      </c>
      <c r="E15" s="32"/>
      <c r="F15" s="20">
        <v>300000.0</v>
      </c>
      <c r="G15" s="17"/>
      <c r="H15" s="17"/>
      <c r="I15" s="17"/>
      <c r="J15" s="17"/>
      <c r="K15" s="1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8">
        <f t="shared" si="1"/>
        <v>300000</v>
      </c>
      <c r="AK15" s="18">
        <f t="shared" si="2"/>
        <v>0</v>
      </c>
      <c r="AL15" s="18">
        <f t="shared" si="3"/>
        <v>300000</v>
      </c>
      <c r="AM15" s="5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</row>
    <row r="16">
      <c r="A16" s="13">
        <v>13.0</v>
      </c>
      <c r="B16" s="34">
        <v>46075.0</v>
      </c>
      <c r="C16" s="19" t="s">
        <v>97</v>
      </c>
      <c r="D16" s="19" t="s">
        <v>98</v>
      </c>
      <c r="E16" s="19">
        <v>9.207355187E9</v>
      </c>
      <c r="F16" s="16">
        <v>50000.0</v>
      </c>
      <c r="G16" s="17"/>
      <c r="H16" s="17"/>
      <c r="I16" s="17"/>
      <c r="J16" s="17"/>
      <c r="K16" s="1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8">
        <f t="shared" si="1"/>
        <v>50000</v>
      </c>
      <c r="AK16" s="18">
        <f t="shared" si="2"/>
        <v>0</v>
      </c>
      <c r="AL16" s="18">
        <f t="shared" si="3"/>
        <v>50000</v>
      </c>
      <c r="AM16" s="5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</row>
    <row r="17">
      <c r="A17" s="13">
        <v>14.0</v>
      </c>
      <c r="B17" s="34">
        <v>46075.0</v>
      </c>
      <c r="C17" s="21" t="s">
        <v>103</v>
      </c>
      <c r="D17" s="32"/>
      <c r="E17" s="19">
        <v>9.947860088E9</v>
      </c>
      <c r="F17" s="16">
        <v>50000.0</v>
      </c>
      <c r="G17" s="17"/>
      <c r="H17" s="17"/>
      <c r="I17" s="17"/>
      <c r="J17" s="17"/>
      <c r="K17" s="1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8">
        <f t="shared" si="1"/>
        <v>50000</v>
      </c>
      <c r="AK17" s="18">
        <f t="shared" si="2"/>
        <v>0</v>
      </c>
      <c r="AL17" s="18">
        <f t="shared" si="3"/>
        <v>50000</v>
      </c>
      <c r="AM17" s="5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</row>
    <row r="18">
      <c r="A18" s="13">
        <v>15.0</v>
      </c>
      <c r="B18" s="34">
        <v>46075.0</v>
      </c>
      <c r="C18" s="21" t="s">
        <v>108</v>
      </c>
      <c r="D18" s="32"/>
      <c r="E18" s="19">
        <v>9.446738992E9</v>
      </c>
      <c r="F18" s="16">
        <v>50000.0</v>
      </c>
      <c r="G18" s="17"/>
      <c r="H18" s="17"/>
      <c r="I18" s="17"/>
      <c r="J18" s="17"/>
      <c r="K18" s="1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8">
        <f t="shared" si="1"/>
        <v>50000</v>
      </c>
      <c r="AK18" s="18">
        <f t="shared" si="2"/>
        <v>0</v>
      </c>
      <c r="AL18" s="18">
        <f t="shared" si="3"/>
        <v>50000</v>
      </c>
      <c r="AM18" s="5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</row>
    <row r="19">
      <c r="A19" s="5"/>
      <c r="B19" s="34">
        <v>46076.0</v>
      </c>
      <c r="C19" s="19" t="s">
        <v>113</v>
      </c>
      <c r="D19" s="19" t="s">
        <v>114</v>
      </c>
      <c r="E19" s="19">
        <v>8.921844143E9</v>
      </c>
      <c r="F19" s="17"/>
      <c r="G19" s="17"/>
      <c r="H19" s="20">
        <v>12500.0</v>
      </c>
      <c r="I19" s="17"/>
      <c r="J19" s="17"/>
      <c r="K19" s="1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8">
        <f t="shared" si="1"/>
        <v>12500</v>
      </c>
      <c r="AK19" s="18">
        <f t="shared" si="2"/>
        <v>0</v>
      </c>
      <c r="AL19" s="18">
        <f t="shared" si="3"/>
        <v>12500</v>
      </c>
      <c r="AM19" s="5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</row>
    <row r="20">
      <c r="A20" s="13">
        <v>16.0</v>
      </c>
      <c r="B20" s="34">
        <v>46076.0</v>
      </c>
      <c r="C20" s="19" t="s">
        <v>119</v>
      </c>
      <c r="D20" s="19" t="s">
        <v>120</v>
      </c>
      <c r="E20" s="19">
        <v>9.539201923E9</v>
      </c>
      <c r="F20" s="17"/>
      <c r="G20" s="17"/>
      <c r="H20" s="17"/>
      <c r="I20" s="17"/>
      <c r="J20" s="17"/>
      <c r="K20" s="20">
        <v>7500.0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8">
        <f t="shared" si="1"/>
        <v>7500</v>
      </c>
      <c r="AK20" s="18">
        <f t="shared" si="2"/>
        <v>0</v>
      </c>
      <c r="AL20" s="18">
        <f t="shared" si="3"/>
        <v>7500</v>
      </c>
      <c r="AM20" s="5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</row>
    <row r="21">
      <c r="A21" s="13">
        <v>17.0</v>
      </c>
      <c r="B21" s="34">
        <v>46078.0</v>
      </c>
      <c r="C21" s="19" t="s">
        <v>124</v>
      </c>
      <c r="D21" s="19" t="s">
        <v>125</v>
      </c>
      <c r="E21" s="19">
        <v>9.74553708E9</v>
      </c>
      <c r="F21" s="17"/>
      <c r="G21" s="17"/>
      <c r="H21" s="17"/>
      <c r="I21" s="17"/>
      <c r="J21" s="17"/>
      <c r="K21" s="20">
        <v>7500.0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8">
        <f t="shared" si="1"/>
        <v>7500</v>
      </c>
      <c r="AK21" s="18">
        <f t="shared" si="2"/>
        <v>0</v>
      </c>
      <c r="AL21" s="18">
        <f t="shared" si="3"/>
        <v>7500</v>
      </c>
      <c r="AM21" s="5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</row>
    <row r="22">
      <c r="A22" s="13">
        <v>18.0</v>
      </c>
      <c r="B22" s="34">
        <v>46078.0</v>
      </c>
      <c r="C22" s="19" t="s">
        <v>129</v>
      </c>
      <c r="D22" s="19" t="s">
        <v>125</v>
      </c>
      <c r="E22" s="19">
        <v>7.03415754E9</v>
      </c>
      <c r="F22" s="17"/>
      <c r="G22" s="17"/>
      <c r="H22" s="17"/>
      <c r="I22" s="20">
        <v>60000.0</v>
      </c>
      <c r="J22" s="17"/>
      <c r="K22" s="1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8">
        <f t="shared" si="1"/>
        <v>60000</v>
      </c>
      <c r="AK22" s="18">
        <f t="shared" si="2"/>
        <v>0</v>
      </c>
      <c r="AL22" s="18">
        <f t="shared" si="3"/>
        <v>60000</v>
      </c>
      <c r="AM22" s="5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3">
      <c r="A23" s="13">
        <v>19.0</v>
      </c>
      <c r="B23" s="34">
        <v>46078.0</v>
      </c>
      <c r="C23" s="19" t="s">
        <v>133</v>
      </c>
      <c r="D23" s="19" t="s">
        <v>134</v>
      </c>
      <c r="E23" s="19">
        <v>9.895330985E9</v>
      </c>
      <c r="F23" s="16">
        <v>50000.0</v>
      </c>
      <c r="G23" s="17"/>
      <c r="H23" s="17"/>
      <c r="I23" s="17"/>
      <c r="J23" s="17"/>
      <c r="K23" s="1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8">
        <f t="shared" si="1"/>
        <v>50000</v>
      </c>
      <c r="AK23" s="18">
        <f t="shared" si="2"/>
        <v>0</v>
      </c>
      <c r="AL23" s="18">
        <f t="shared" si="3"/>
        <v>50000</v>
      </c>
      <c r="AM23" s="5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</row>
    <row r="24">
      <c r="A24" s="13">
        <v>20.0</v>
      </c>
      <c r="B24" s="34">
        <v>46079.0</v>
      </c>
      <c r="C24" s="19" t="s">
        <v>138</v>
      </c>
      <c r="D24" s="19" t="s">
        <v>139</v>
      </c>
      <c r="E24" s="19">
        <v>9.388415184E9</v>
      </c>
      <c r="F24" s="17"/>
      <c r="G24" s="17"/>
      <c r="H24" s="17"/>
      <c r="I24" s="17"/>
      <c r="J24" s="20">
        <v>15000.0</v>
      </c>
      <c r="K24" s="1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8">
        <f t="shared" si="1"/>
        <v>15000</v>
      </c>
      <c r="AK24" s="18">
        <f t="shared" si="2"/>
        <v>0</v>
      </c>
      <c r="AL24" s="18">
        <f t="shared" si="3"/>
        <v>15000</v>
      </c>
      <c r="AM24" s="5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</row>
    <row r="25">
      <c r="A25" s="13">
        <v>21.0</v>
      </c>
      <c r="B25" s="34">
        <v>46079.0</v>
      </c>
      <c r="C25" s="19" t="s">
        <v>144</v>
      </c>
      <c r="D25" s="19" t="s">
        <v>145</v>
      </c>
      <c r="E25" s="19">
        <v>9.048620005E9</v>
      </c>
      <c r="F25" s="17"/>
      <c r="G25" s="17"/>
      <c r="H25" s="17"/>
      <c r="I25" s="17"/>
      <c r="J25" s="17"/>
      <c r="K25" s="20">
        <v>7500.0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8">
        <f t="shared" si="1"/>
        <v>7500</v>
      </c>
      <c r="AK25" s="18">
        <f t="shared" si="2"/>
        <v>0</v>
      </c>
      <c r="AL25" s="18">
        <f t="shared" si="3"/>
        <v>7500</v>
      </c>
      <c r="AM25" s="5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</row>
    <row r="26">
      <c r="A26" s="13">
        <v>22.0</v>
      </c>
      <c r="B26" s="34">
        <v>46079.0</v>
      </c>
      <c r="C26" s="19" t="s">
        <v>149</v>
      </c>
      <c r="D26" s="19" t="s">
        <v>150</v>
      </c>
      <c r="E26" s="19">
        <v>9.747576774E9</v>
      </c>
      <c r="F26" s="17"/>
      <c r="G26" s="17"/>
      <c r="H26" s="17"/>
      <c r="I26" s="17"/>
      <c r="J26" s="17"/>
      <c r="K26" s="20">
        <v>7500.0</v>
      </c>
      <c r="L26" s="22">
        <v>2500.0</v>
      </c>
      <c r="M26" s="22" t="s">
        <v>151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8">
        <f t="shared" si="1"/>
        <v>7500</v>
      </c>
      <c r="AK26" s="18">
        <f t="shared" si="2"/>
        <v>2500</v>
      </c>
      <c r="AL26" s="18">
        <f t="shared" si="3"/>
        <v>5000</v>
      </c>
      <c r="AM26" s="5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</row>
    <row r="27">
      <c r="A27" s="13">
        <v>23.0</v>
      </c>
      <c r="B27" s="34">
        <v>46079.0</v>
      </c>
      <c r="C27" s="19" t="s">
        <v>153</v>
      </c>
      <c r="D27" s="19" t="s">
        <v>154</v>
      </c>
      <c r="E27" s="19">
        <v>8.086404181E9</v>
      </c>
      <c r="F27" s="17"/>
      <c r="G27" s="17"/>
      <c r="H27" s="17"/>
      <c r="I27" s="17"/>
      <c r="J27" s="17"/>
      <c r="K27" s="20">
        <v>7500.0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8">
        <f t="shared" si="1"/>
        <v>7500</v>
      </c>
      <c r="AK27" s="18">
        <f t="shared" si="2"/>
        <v>0</v>
      </c>
      <c r="AL27" s="18">
        <f t="shared" si="3"/>
        <v>7500</v>
      </c>
      <c r="AM27" s="5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</row>
    <row r="28">
      <c r="A28" s="13">
        <v>24.0</v>
      </c>
      <c r="B28" s="34">
        <v>46080.0</v>
      </c>
      <c r="C28" s="19" t="s">
        <v>156</v>
      </c>
      <c r="D28" s="19" t="s">
        <v>158</v>
      </c>
      <c r="E28" s="19">
        <v>9.946071113E9</v>
      </c>
      <c r="F28" s="17"/>
      <c r="G28" s="17"/>
      <c r="H28" s="17"/>
      <c r="I28" s="17"/>
      <c r="J28" s="17"/>
      <c r="K28" s="20">
        <v>7500.0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8">
        <f t="shared" si="1"/>
        <v>7500</v>
      </c>
      <c r="AK28" s="18">
        <f t="shared" si="2"/>
        <v>0</v>
      </c>
      <c r="AL28" s="18">
        <f t="shared" si="3"/>
        <v>7500</v>
      </c>
      <c r="AM28" s="5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</row>
    <row r="29">
      <c r="A29" s="13">
        <v>25.0</v>
      </c>
      <c r="B29" s="34">
        <v>46081.0</v>
      </c>
      <c r="C29" s="19" t="s">
        <v>161</v>
      </c>
      <c r="D29" s="19" t="s">
        <v>162</v>
      </c>
      <c r="E29" s="19">
        <v>9.745084625E9</v>
      </c>
      <c r="F29" s="17"/>
      <c r="G29" s="17"/>
      <c r="H29" s="17"/>
      <c r="I29" s="17"/>
      <c r="J29" s="17"/>
      <c r="K29" s="20">
        <v>7500.0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8">
        <f t="shared" si="1"/>
        <v>7500</v>
      </c>
      <c r="AK29" s="18">
        <f t="shared" si="2"/>
        <v>0</v>
      </c>
      <c r="AL29" s="18">
        <f t="shared" si="3"/>
        <v>7500</v>
      </c>
      <c r="AM29" s="5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</row>
    <row r="30">
      <c r="A30" s="13">
        <v>26.0</v>
      </c>
      <c r="B30" s="34">
        <v>46081.0</v>
      </c>
      <c r="C30" s="19" t="s">
        <v>166</v>
      </c>
      <c r="D30" s="19" t="s">
        <v>167</v>
      </c>
      <c r="E30" s="19">
        <v>9.072804123E9</v>
      </c>
      <c r="F30" s="17"/>
      <c r="G30" s="17"/>
      <c r="H30" s="17"/>
      <c r="I30" s="20">
        <v>30000.0</v>
      </c>
      <c r="J30" s="17"/>
      <c r="K30" s="1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8">
        <f t="shared" si="1"/>
        <v>30000</v>
      </c>
      <c r="AK30" s="18">
        <f t="shared" si="2"/>
        <v>0</v>
      </c>
      <c r="AL30" s="18">
        <f t="shared" si="3"/>
        <v>30000</v>
      </c>
      <c r="AM30" s="5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</row>
    <row r="31">
      <c r="A31" s="13">
        <v>27.0</v>
      </c>
      <c r="B31" s="34">
        <v>46081.0</v>
      </c>
      <c r="C31" s="19" t="s">
        <v>170</v>
      </c>
      <c r="D31" s="19" t="s">
        <v>167</v>
      </c>
      <c r="E31" s="19">
        <v>9.847143408E9</v>
      </c>
      <c r="F31" s="17"/>
      <c r="G31" s="20">
        <v>25000.0</v>
      </c>
      <c r="H31" s="17"/>
      <c r="I31" s="17"/>
      <c r="J31" s="17"/>
      <c r="K31" s="1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8">
        <f t="shared" si="1"/>
        <v>25000</v>
      </c>
      <c r="AK31" s="18">
        <f t="shared" si="2"/>
        <v>0</v>
      </c>
      <c r="AL31" s="18">
        <f t="shared" si="3"/>
        <v>25000</v>
      </c>
      <c r="AM31" s="5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</row>
    <row r="32">
      <c r="A32" s="13">
        <v>28.0</v>
      </c>
      <c r="B32" s="34">
        <v>46081.0</v>
      </c>
      <c r="C32" s="19" t="s">
        <v>174</v>
      </c>
      <c r="D32" s="32"/>
      <c r="E32" s="19">
        <v>9.744210869E9</v>
      </c>
      <c r="F32" s="17"/>
      <c r="G32" s="17"/>
      <c r="H32" s="17"/>
      <c r="I32" s="17"/>
      <c r="J32" s="17"/>
      <c r="K32" s="20">
        <v>7500.0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8">
        <f t="shared" si="1"/>
        <v>7500</v>
      </c>
      <c r="AK32" s="18">
        <f t="shared" si="2"/>
        <v>0</v>
      </c>
      <c r="AL32" s="18">
        <f t="shared" si="3"/>
        <v>7500</v>
      </c>
      <c r="AM32" s="5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</row>
    <row r="33">
      <c r="A33" s="13">
        <v>29.0</v>
      </c>
      <c r="B33" s="34">
        <v>46082.0</v>
      </c>
      <c r="C33" s="19" t="s">
        <v>177</v>
      </c>
      <c r="D33" s="19" t="s">
        <v>179</v>
      </c>
      <c r="E33" s="19">
        <v>9.048960472E9</v>
      </c>
      <c r="F33" s="17"/>
      <c r="G33" s="17"/>
      <c r="H33" s="17"/>
      <c r="I33" s="20">
        <v>30000.0</v>
      </c>
      <c r="J33" s="17"/>
      <c r="K33" s="17"/>
      <c r="L33" s="22">
        <v>3000.0</v>
      </c>
      <c r="M33" s="22" t="s">
        <v>180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8">
        <f t="shared" si="1"/>
        <v>30000</v>
      </c>
      <c r="AK33" s="18">
        <f t="shared" si="2"/>
        <v>3000</v>
      </c>
      <c r="AL33" s="18">
        <f t="shared" si="3"/>
        <v>27000</v>
      </c>
      <c r="AM33" s="5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</row>
    <row r="34">
      <c r="A34" s="13">
        <v>30.0</v>
      </c>
      <c r="B34" s="34">
        <v>46082.0</v>
      </c>
      <c r="C34" s="19" t="s">
        <v>183</v>
      </c>
      <c r="D34" s="19" t="s">
        <v>154</v>
      </c>
      <c r="E34" s="19">
        <v>9.539771077E9</v>
      </c>
      <c r="F34" s="17"/>
      <c r="G34" s="17"/>
      <c r="H34" s="17"/>
      <c r="I34" s="17"/>
      <c r="J34" s="20">
        <v>15000.0</v>
      </c>
      <c r="K34" s="1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8">
        <f t="shared" si="1"/>
        <v>15000</v>
      </c>
      <c r="AK34" s="18">
        <f t="shared" si="2"/>
        <v>0</v>
      </c>
      <c r="AL34" s="18">
        <f t="shared" si="3"/>
        <v>15000</v>
      </c>
      <c r="AM34" s="5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>
      <c r="A35" s="13">
        <v>31.0</v>
      </c>
      <c r="B35" s="34">
        <v>46082.0</v>
      </c>
      <c r="C35" s="19" t="s">
        <v>186</v>
      </c>
      <c r="D35" s="19" t="s">
        <v>154</v>
      </c>
      <c r="E35" s="19">
        <v>9.961496537E9</v>
      </c>
      <c r="F35" s="17"/>
      <c r="G35" s="17"/>
      <c r="H35" s="17"/>
      <c r="I35" s="17"/>
      <c r="J35" s="17"/>
      <c r="K35" s="20">
        <v>7500.0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8">
        <f t="shared" si="1"/>
        <v>7500</v>
      </c>
      <c r="AK35" s="18">
        <f t="shared" si="2"/>
        <v>0</v>
      </c>
      <c r="AL35" s="18">
        <f t="shared" si="3"/>
        <v>7500</v>
      </c>
      <c r="AM35" s="5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</row>
    <row r="36">
      <c r="A36" s="13">
        <v>32.0</v>
      </c>
      <c r="B36" s="34">
        <v>46082.0</v>
      </c>
      <c r="C36" s="19" t="s">
        <v>190</v>
      </c>
      <c r="D36" s="19" t="s">
        <v>154</v>
      </c>
      <c r="E36" s="19">
        <v>8.301064159E9</v>
      </c>
      <c r="F36" s="17"/>
      <c r="G36" s="17"/>
      <c r="H36" s="17"/>
      <c r="I36" s="17"/>
      <c r="J36" s="17"/>
      <c r="K36" s="20">
        <v>7500.0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8">
        <f t="shared" si="1"/>
        <v>7500</v>
      </c>
      <c r="AK36" s="18">
        <f t="shared" si="2"/>
        <v>0</v>
      </c>
      <c r="AL36" s="18">
        <f t="shared" si="3"/>
        <v>7500</v>
      </c>
      <c r="AM36" s="5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</row>
    <row r="37">
      <c r="A37" s="13">
        <v>33.0</v>
      </c>
      <c r="B37" s="39">
        <v>46084.0</v>
      </c>
      <c r="C37" s="40" t="s">
        <v>191</v>
      </c>
      <c r="D37" s="40" t="s">
        <v>179</v>
      </c>
      <c r="E37" s="40">
        <v>9.846195563E9</v>
      </c>
      <c r="F37" s="41"/>
      <c r="G37" s="41"/>
      <c r="H37" s="41"/>
      <c r="I37" s="41"/>
      <c r="J37" s="41"/>
      <c r="K37" s="20">
        <v>7500.0</v>
      </c>
      <c r="L37" s="22">
        <v>7500.0</v>
      </c>
      <c r="M37" s="22" t="s">
        <v>192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8">
        <f t="shared" si="1"/>
        <v>7500</v>
      </c>
      <c r="AK37" s="18">
        <f t="shared" si="2"/>
        <v>7500</v>
      </c>
      <c r="AL37" s="18">
        <f t="shared" si="3"/>
        <v>0</v>
      </c>
      <c r="AM37" s="5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</row>
    <row r="38">
      <c r="A38" s="13">
        <v>34.0</v>
      </c>
      <c r="B38" s="39">
        <v>46085.0</v>
      </c>
      <c r="C38" s="40" t="s">
        <v>195</v>
      </c>
      <c r="D38" s="40" t="s">
        <v>196</v>
      </c>
      <c r="E38" s="40">
        <v>9.846979721E9</v>
      </c>
      <c r="F38" s="41"/>
      <c r="G38" s="41"/>
      <c r="H38" s="41"/>
      <c r="I38" s="41"/>
      <c r="J38" s="41"/>
      <c r="K38" s="42">
        <v>7500.0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8">
        <f t="shared" si="1"/>
        <v>7500</v>
      </c>
      <c r="AK38" s="18">
        <f t="shared" si="2"/>
        <v>0</v>
      </c>
      <c r="AL38" s="18">
        <f t="shared" si="3"/>
        <v>7500</v>
      </c>
      <c r="AM38" s="5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</row>
    <row r="39">
      <c r="A39" s="13">
        <v>35.0</v>
      </c>
      <c r="B39" s="39">
        <v>46086.0</v>
      </c>
      <c r="C39" s="40" t="s">
        <v>200</v>
      </c>
      <c r="D39" s="40" t="s">
        <v>201</v>
      </c>
      <c r="E39" s="40">
        <v>9.947718398E9</v>
      </c>
      <c r="F39" s="17"/>
      <c r="G39" s="17"/>
      <c r="H39" s="20">
        <v>12500.0</v>
      </c>
      <c r="I39" s="17"/>
      <c r="J39" s="17"/>
      <c r="K39" s="1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8">
        <f t="shared" si="1"/>
        <v>12500</v>
      </c>
      <c r="AK39" s="18">
        <f t="shared" si="2"/>
        <v>0</v>
      </c>
      <c r="AL39" s="18">
        <f t="shared" si="3"/>
        <v>12500</v>
      </c>
      <c r="AM39" s="5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</row>
    <row r="40">
      <c r="A40" s="13">
        <v>36.0</v>
      </c>
      <c r="B40" s="39">
        <v>46088.0</v>
      </c>
      <c r="C40" s="40" t="s">
        <v>206</v>
      </c>
      <c r="D40" s="43"/>
      <c r="E40" s="40">
        <v>8.129890936E9</v>
      </c>
      <c r="F40" s="17"/>
      <c r="G40" s="17"/>
      <c r="H40" s="17"/>
      <c r="I40" s="17"/>
      <c r="J40" s="20">
        <v>15000.0</v>
      </c>
      <c r="K40" s="17"/>
      <c r="L40" s="22">
        <v>2500.0</v>
      </c>
      <c r="M40" s="22" t="s">
        <v>208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8">
        <f t="shared" si="1"/>
        <v>15000</v>
      </c>
      <c r="AK40" s="18">
        <f t="shared" si="2"/>
        <v>2500</v>
      </c>
      <c r="AL40" s="18">
        <f t="shared" si="3"/>
        <v>12500</v>
      </c>
      <c r="AM40" s="5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</row>
    <row r="41">
      <c r="A41" s="13">
        <v>37.0</v>
      </c>
      <c r="B41" s="39">
        <v>46089.0</v>
      </c>
      <c r="C41" s="40" t="s">
        <v>211</v>
      </c>
      <c r="D41" s="40" t="s">
        <v>158</v>
      </c>
      <c r="E41" s="40">
        <v>9.656113645E9</v>
      </c>
      <c r="F41" s="20">
        <v>50000.0</v>
      </c>
      <c r="G41" s="17"/>
      <c r="H41" s="17"/>
      <c r="I41" s="17"/>
      <c r="J41" s="17"/>
      <c r="K41" s="1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8">
        <f t="shared" si="1"/>
        <v>50000</v>
      </c>
      <c r="AK41" s="18">
        <f t="shared" si="2"/>
        <v>0</v>
      </c>
      <c r="AL41" s="18">
        <f t="shared" si="3"/>
        <v>50000</v>
      </c>
      <c r="AM41" s="5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</row>
    <row r="42">
      <c r="A42" s="5"/>
      <c r="B42" s="39">
        <v>46089.0</v>
      </c>
      <c r="C42" s="40" t="s">
        <v>215</v>
      </c>
      <c r="D42" s="40" t="s">
        <v>216</v>
      </c>
      <c r="E42" s="40">
        <v>8.943388511E9</v>
      </c>
      <c r="F42" s="20">
        <v>50000.0</v>
      </c>
      <c r="G42" s="17"/>
      <c r="H42" s="17"/>
      <c r="I42" s="17"/>
      <c r="J42" s="17"/>
      <c r="K42" s="1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8">
        <f t="shared" si="1"/>
        <v>50000</v>
      </c>
      <c r="AK42" s="5"/>
      <c r="AL42" s="5"/>
      <c r="AM42" s="5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</row>
    <row r="43">
      <c r="A43" s="5"/>
      <c r="B43" s="39">
        <v>46089.0</v>
      </c>
      <c r="C43" s="44" t="s">
        <v>220</v>
      </c>
      <c r="D43" s="40" t="s">
        <v>221</v>
      </c>
      <c r="E43" s="40" t="s">
        <v>222</v>
      </c>
      <c r="F43" s="20">
        <v>50000.0</v>
      </c>
      <c r="G43" s="17"/>
      <c r="H43" s="17"/>
      <c r="I43" s="17"/>
      <c r="J43" s="17"/>
      <c r="K43" s="17"/>
      <c r="L43" s="22">
        <v>15000.0</v>
      </c>
      <c r="M43" s="22" t="s">
        <v>224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8">
        <f t="shared" si="1"/>
        <v>50000</v>
      </c>
      <c r="AK43" s="5"/>
      <c r="AL43" s="5"/>
      <c r="AM43" s="5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</row>
    <row r="44">
      <c r="A44" s="5"/>
      <c r="B44" s="39">
        <v>46089.0</v>
      </c>
      <c r="C44" s="40" t="s">
        <v>227</v>
      </c>
      <c r="D44" s="40" t="s">
        <v>228</v>
      </c>
      <c r="E44" s="40" t="s">
        <v>229</v>
      </c>
      <c r="F44" s="20">
        <v>50000.0</v>
      </c>
      <c r="G44" s="17"/>
      <c r="H44" s="17"/>
      <c r="I44" s="17"/>
      <c r="J44" s="17"/>
      <c r="K44" s="1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8">
        <f t="shared" si="1"/>
        <v>50000</v>
      </c>
      <c r="AK44" s="5"/>
      <c r="AL44" s="5"/>
      <c r="AM44" s="5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</row>
    <row r="45">
      <c r="A45" s="13">
        <v>38.0</v>
      </c>
      <c r="B45" s="39">
        <v>46093.0</v>
      </c>
      <c r="C45" s="40" t="s">
        <v>233</v>
      </c>
      <c r="D45" s="44" t="s">
        <v>234</v>
      </c>
      <c r="E45" s="40" t="s">
        <v>235</v>
      </c>
      <c r="F45" s="20">
        <v>50000.0</v>
      </c>
      <c r="G45" s="17"/>
      <c r="H45" s="17"/>
      <c r="I45" s="17"/>
      <c r="J45" s="17"/>
      <c r="K45" s="1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8">
        <f t="shared" si="1"/>
        <v>50000</v>
      </c>
      <c r="AK45" s="18">
        <f t="shared" ref="AK45:AK186" si="4">sum(L45+N45+P45+R45+T45+V45+X45+Z45+AB45+AD45+AF45+AH45)</f>
        <v>0</v>
      </c>
      <c r="AL45" s="18">
        <f t="shared" ref="AL45:AL187" si="5">sum(AJ45-AK45)</f>
        <v>50000</v>
      </c>
      <c r="AM45" s="5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</row>
    <row r="46">
      <c r="A46" s="13">
        <v>39.0</v>
      </c>
      <c r="B46" s="39">
        <v>46094.0</v>
      </c>
      <c r="C46" s="40" t="s">
        <v>240</v>
      </c>
      <c r="D46" s="40" t="s">
        <v>241</v>
      </c>
      <c r="E46" s="40">
        <v>9.961975819E9</v>
      </c>
      <c r="F46" s="17"/>
      <c r="G46" s="17"/>
      <c r="H46" s="17"/>
      <c r="I46" s="17"/>
      <c r="J46" s="17"/>
      <c r="K46" s="20">
        <v>7500.0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8">
        <f t="shared" si="1"/>
        <v>7500</v>
      </c>
      <c r="AK46" s="18">
        <f t="shared" si="4"/>
        <v>0</v>
      </c>
      <c r="AL46" s="18">
        <f t="shared" si="5"/>
        <v>7500</v>
      </c>
      <c r="AM46" s="5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</row>
    <row r="47">
      <c r="A47" s="13">
        <v>40.0</v>
      </c>
      <c r="B47" s="39">
        <v>46095.0</v>
      </c>
      <c r="C47" s="40" t="s">
        <v>245</v>
      </c>
      <c r="D47" s="40" t="s">
        <v>246</v>
      </c>
      <c r="E47" s="40">
        <v>9.188721055E9</v>
      </c>
      <c r="F47" s="17"/>
      <c r="G47" s="17"/>
      <c r="H47" s="17"/>
      <c r="I47" s="20">
        <v>30000.0</v>
      </c>
      <c r="J47" s="17"/>
      <c r="K47" s="1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8">
        <f t="shared" si="1"/>
        <v>30000</v>
      </c>
      <c r="AK47" s="18">
        <f t="shared" si="4"/>
        <v>0</v>
      </c>
      <c r="AL47" s="18">
        <f t="shared" si="5"/>
        <v>30000</v>
      </c>
      <c r="AM47" s="5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</row>
    <row r="48">
      <c r="A48" s="13">
        <v>41.0</v>
      </c>
      <c r="B48" s="39">
        <v>46095.0</v>
      </c>
      <c r="C48" s="40" t="s">
        <v>251</v>
      </c>
      <c r="D48" s="40" t="s">
        <v>252</v>
      </c>
      <c r="E48" s="40">
        <v>9.746923903E9</v>
      </c>
      <c r="F48" s="17"/>
      <c r="G48" s="17"/>
      <c r="H48" s="17"/>
      <c r="I48" s="17"/>
      <c r="J48" s="20">
        <v>15000.0</v>
      </c>
      <c r="K48" s="1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8">
        <f t="shared" si="1"/>
        <v>15000</v>
      </c>
      <c r="AK48" s="18">
        <f t="shared" si="4"/>
        <v>0</v>
      </c>
      <c r="AL48" s="18">
        <f t="shared" si="5"/>
        <v>15000</v>
      </c>
      <c r="AM48" s="5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</row>
    <row r="49">
      <c r="A49" s="13">
        <v>42.0</v>
      </c>
      <c r="B49" s="45"/>
      <c r="C49" s="32"/>
      <c r="D49" s="32"/>
      <c r="E49" s="32"/>
      <c r="F49" s="17"/>
      <c r="G49" s="17"/>
      <c r="H49" s="17"/>
      <c r="I49" s="17"/>
      <c r="J49" s="17"/>
      <c r="K49" s="1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8">
        <f t="shared" si="1"/>
        <v>0</v>
      </c>
      <c r="AK49" s="18">
        <f t="shared" si="4"/>
        <v>0</v>
      </c>
      <c r="AL49" s="18">
        <f t="shared" si="5"/>
        <v>0</v>
      </c>
      <c r="AM49" s="5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</row>
    <row r="50">
      <c r="A50" s="13">
        <v>43.0</v>
      </c>
      <c r="B50" s="45"/>
      <c r="C50" s="32"/>
      <c r="D50" s="32"/>
      <c r="E50" s="32"/>
      <c r="F50" s="17"/>
      <c r="G50" s="17"/>
      <c r="H50" s="17"/>
      <c r="I50" s="17"/>
      <c r="J50" s="17"/>
      <c r="K50" s="1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8">
        <f t="shared" si="1"/>
        <v>0</v>
      </c>
      <c r="AK50" s="18">
        <f t="shared" si="4"/>
        <v>0</v>
      </c>
      <c r="AL50" s="18">
        <f t="shared" si="5"/>
        <v>0</v>
      </c>
      <c r="AM50" s="5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</row>
    <row r="51">
      <c r="A51" s="13">
        <v>44.0</v>
      </c>
      <c r="B51" s="45"/>
      <c r="C51" s="32"/>
      <c r="D51" s="32"/>
      <c r="E51" s="32"/>
      <c r="F51" s="17"/>
      <c r="G51" s="17"/>
      <c r="H51" s="17"/>
      <c r="I51" s="17"/>
      <c r="J51" s="17"/>
      <c r="K51" s="1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8">
        <f t="shared" si="1"/>
        <v>0</v>
      </c>
      <c r="AK51" s="18">
        <f t="shared" si="4"/>
        <v>0</v>
      </c>
      <c r="AL51" s="18">
        <f t="shared" si="5"/>
        <v>0</v>
      </c>
      <c r="AM51" s="5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</row>
    <row r="52">
      <c r="A52" s="13">
        <v>45.0</v>
      </c>
      <c r="B52" s="45"/>
      <c r="C52" s="32"/>
      <c r="D52" s="32"/>
      <c r="E52" s="32"/>
      <c r="F52" s="17"/>
      <c r="G52" s="17"/>
      <c r="H52" s="17"/>
      <c r="I52" s="17"/>
      <c r="J52" s="17"/>
      <c r="K52" s="1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8">
        <f t="shared" si="1"/>
        <v>0</v>
      </c>
      <c r="AK52" s="18">
        <f t="shared" si="4"/>
        <v>0</v>
      </c>
      <c r="AL52" s="18">
        <f t="shared" si="5"/>
        <v>0</v>
      </c>
      <c r="AM52" s="5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</row>
    <row r="53">
      <c r="A53" s="13">
        <v>46.0</v>
      </c>
      <c r="B53" s="45"/>
      <c r="C53" s="32"/>
      <c r="D53" s="32"/>
      <c r="E53" s="32"/>
      <c r="F53" s="17"/>
      <c r="G53" s="17"/>
      <c r="H53" s="17"/>
      <c r="I53" s="17"/>
      <c r="J53" s="17"/>
      <c r="K53" s="1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8">
        <f t="shared" si="1"/>
        <v>0</v>
      </c>
      <c r="AK53" s="18">
        <f t="shared" si="4"/>
        <v>0</v>
      </c>
      <c r="AL53" s="18">
        <f t="shared" si="5"/>
        <v>0</v>
      </c>
      <c r="AM53" s="5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</row>
    <row r="54">
      <c r="A54" s="13">
        <v>47.0</v>
      </c>
      <c r="B54" s="45"/>
      <c r="C54" s="32"/>
      <c r="D54" s="32"/>
      <c r="E54" s="32"/>
      <c r="F54" s="17"/>
      <c r="G54" s="17"/>
      <c r="H54" s="17"/>
      <c r="I54" s="17"/>
      <c r="J54" s="17"/>
      <c r="K54" s="1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8">
        <f t="shared" si="1"/>
        <v>0</v>
      </c>
      <c r="AK54" s="18">
        <f t="shared" si="4"/>
        <v>0</v>
      </c>
      <c r="AL54" s="18">
        <f t="shared" si="5"/>
        <v>0</v>
      </c>
      <c r="AM54" s="5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</row>
    <row r="55">
      <c r="A55" s="13">
        <v>48.0</v>
      </c>
      <c r="B55" s="45"/>
      <c r="C55" s="32"/>
      <c r="D55" s="32"/>
      <c r="E55" s="32"/>
      <c r="F55" s="17"/>
      <c r="G55" s="17"/>
      <c r="H55" s="17"/>
      <c r="I55" s="17"/>
      <c r="J55" s="17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8">
        <f t="shared" si="1"/>
        <v>0</v>
      </c>
      <c r="AK55" s="18">
        <f t="shared" si="4"/>
        <v>0</v>
      </c>
      <c r="AL55" s="18">
        <f t="shared" si="5"/>
        <v>0</v>
      </c>
      <c r="AM55" s="5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</row>
    <row r="56">
      <c r="A56" s="13">
        <v>49.0</v>
      </c>
      <c r="B56" s="45"/>
      <c r="C56" s="32"/>
      <c r="D56" s="32"/>
      <c r="E56" s="32"/>
      <c r="F56" s="17"/>
      <c r="G56" s="17"/>
      <c r="H56" s="17"/>
      <c r="I56" s="17"/>
      <c r="J56" s="17"/>
      <c r="K56" s="1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8">
        <f t="shared" si="1"/>
        <v>0</v>
      </c>
      <c r="AK56" s="18">
        <f t="shared" si="4"/>
        <v>0</v>
      </c>
      <c r="AL56" s="18">
        <f t="shared" si="5"/>
        <v>0</v>
      </c>
      <c r="AM56" s="5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</row>
    <row r="57">
      <c r="A57" s="13">
        <v>50.0</v>
      </c>
      <c r="B57" s="45"/>
      <c r="C57" s="32"/>
      <c r="D57" s="32"/>
      <c r="E57" s="32"/>
      <c r="F57" s="17"/>
      <c r="G57" s="17"/>
      <c r="H57" s="17"/>
      <c r="I57" s="17"/>
      <c r="J57" s="17"/>
      <c r="K57" s="1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8">
        <f t="shared" si="1"/>
        <v>0</v>
      </c>
      <c r="AK57" s="18">
        <f t="shared" si="4"/>
        <v>0</v>
      </c>
      <c r="AL57" s="18">
        <f t="shared" si="5"/>
        <v>0</v>
      </c>
      <c r="AM57" s="5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</row>
    <row r="58">
      <c r="A58" s="13">
        <v>51.0</v>
      </c>
      <c r="B58" s="45"/>
      <c r="C58" s="32"/>
      <c r="D58" s="32"/>
      <c r="E58" s="32"/>
      <c r="F58" s="17"/>
      <c r="G58" s="17"/>
      <c r="H58" s="17"/>
      <c r="I58" s="17"/>
      <c r="J58" s="17"/>
      <c r="K58" s="1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8">
        <f t="shared" si="1"/>
        <v>0</v>
      </c>
      <c r="AK58" s="18">
        <f t="shared" si="4"/>
        <v>0</v>
      </c>
      <c r="AL58" s="18">
        <f t="shared" si="5"/>
        <v>0</v>
      </c>
      <c r="AM58" s="5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>
      <c r="A59" s="13">
        <v>52.0</v>
      </c>
      <c r="B59" s="45"/>
      <c r="C59" s="32"/>
      <c r="D59" s="32"/>
      <c r="E59" s="32"/>
      <c r="F59" s="17"/>
      <c r="G59" s="17"/>
      <c r="H59" s="17"/>
      <c r="I59" s="17"/>
      <c r="J59" s="17"/>
      <c r="K59" s="1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8">
        <f t="shared" si="1"/>
        <v>0</v>
      </c>
      <c r="AK59" s="18">
        <f t="shared" si="4"/>
        <v>0</v>
      </c>
      <c r="AL59" s="18">
        <f t="shared" si="5"/>
        <v>0</v>
      </c>
      <c r="AM59" s="5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>
      <c r="A60" s="13">
        <v>53.0</v>
      </c>
      <c r="B60" s="46"/>
      <c r="C60" s="43"/>
      <c r="D60" s="43"/>
      <c r="E60" s="43"/>
      <c r="F60" s="41"/>
      <c r="G60" s="41"/>
      <c r="H60" s="41"/>
      <c r="I60" s="41"/>
      <c r="J60" s="41"/>
      <c r="K60" s="1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8">
        <f t="shared" si="1"/>
        <v>0</v>
      </c>
      <c r="AK60" s="18">
        <f t="shared" si="4"/>
        <v>0</v>
      </c>
      <c r="AL60" s="18">
        <f t="shared" si="5"/>
        <v>0</v>
      </c>
      <c r="AM60" s="5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>
      <c r="A61" s="5"/>
      <c r="B61" s="47"/>
      <c r="C61" s="17"/>
      <c r="D61" s="17"/>
      <c r="E61" s="17"/>
      <c r="F61" s="41"/>
      <c r="G61" s="41"/>
      <c r="H61" s="41"/>
      <c r="I61" s="41"/>
      <c r="J61" s="41"/>
      <c r="K61" s="4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8">
        <f t="shared" si="1"/>
        <v>0</v>
      </c>
      <c r="AK61" s="18">
        <f t="shared" si="4"/>
        <v>0</v>
      </c>
      <c r="AL61" s="18">
        <f t="shared" si="5"/>
        <v>0</v>
      </c>
      <c r="AM61" s="5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>
      <c r="A62" s="13">
        <v>35.0</v>
      </c>
      <c r="B62" s="48"/>
      <c r="C62" s="5"/>
      <c r="D62" s="5"/>
      <c r="E62" s="5"/>
      <c r="F62" s="41"/>
      <c r="G62" s="41"/>
      <c r="H62" s="41"/>
      <c r="I62" s="41"/>
      <c r="J62" s="41"/>
      <c r="K62" s="4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18">
        <f t="shared" si="4"/>
        <v>0</v>
      </c>
      <c r="AL62" s="18">
        <f t="shared" si="5"/>
        <v>0</v>
      </c>
      <c r="AM62" s="5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>
      <c r="A63" s="13">
        <v>36.0</v>
      </c>
      <c r="B63" s="48"/>
      <c r="C63" s="5"/>
      <c r="D63" s="5"/>
      <c r="E63" s="5"/>
      <c r="F63" s="41"/>
      <c r="G63" s="41"/>
      <c r="H63" s="41"/>
      <c r="I63" s="41"/>
      <c r="J63" s="41"/>
      <c r="K63" s="4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18">
        <f t="shared" si="4"/>
        <v>0</v>
      </c>
      <c r="AL63" s="18">
        <f t="shared" si="5"/>
        <v>0</v>
      </c>
      <c r="AM63" s="5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>
      <c r="A64" s="13">
        <v>37.0</v>
      </c>
      <c r="B64" s="48"/>
      <c r="C64" s="5"/>
      <c r="D64" s="5"/>
      <c r="E64" s="5"/>
      <c r="F64" s="41"/>
      <c r="G64" s="41"/>
      <c r="H64" s="41"/>
      <c r="I64" s="41"/>
      <c r="J64" s="41"/>
      <c r="K64" s="4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18">
        <f t="shared" si="4"/>
        <v>0</v>
      </c>
      <c r="AL64" s="18">
        <f t="shared" si="5"/>
        <v>0</v>
      </c>
      <c r="AM64" s="5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>
      <c r="A65" s="13">
        <v>38.0</v>
      </c>
      <c r="B65" s="48"/>
      <c r="C65" s="5"/>
      <c r="D65" s="5"/>
      <c r="E65" s="5"/>
      <c r="F65" s="41"/>
      <c r="G65" s="41"/>
      <c r="H65" s="41"/>
      <c r="I65" s="41"/>
      <c r="J65" s="41"/>
      <c r="K65" s="4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18">
        <f t="shared" si="4"/>
        <v>0</v>
      </c>
      <c r="AL65" s="18">
        <f t="shared" si="5"/>
        <v>0</v>
      </c>
      <c r="AM65" s="5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>
      <c r="A66" s="13">
        <v>39.0</v>
      </c>
      <c r="B66" s="48"/>
      <c r="C66" s="5"/>
      <c r="D66" s="5"/>
      <c r="E66" s="5"/>
      <c r="F66" s="41"/>
      <c r="G66" s="41"/>
      <c r="H66" s="41"/>
      <c r="I66" s="41"/>
      <c r="J66" s="41"/>
      <c r="K66" s="4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18">
        <f t="shared" si="4"/>
        <v>0</v>
      </c>
      <c r="AL66" s="18">
        <f t="shared" si="5"/>
        <v>0</v>
      </c>
      <c r="AM66" s="5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>
      <c r="A67" s="13">
        <v>40.0</v>
      </c>
      <c r="B67" s="48"/>
      <c r="C67" s="5"/>
      <c r="D67" s="5"/>
      <c r="E67" s="5"/>
      <c r="F67" s="41"/>
      <c r="G67" s="41"/>
      <c r="H67" s="41"/>
      <c r="I67" s="41"/>
      <c r="J67" s="41"/>
      <c r="K67" s="4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18">
        <f t="shared" si="4"/>
        <v>0</v>
      </c>
      <c r="AL67" s="18">
        <f t="shared" si="5"/>
        <v>0</v>
      </c>
      <c r="AM67" s="5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</row>
    <row r="68">
      <c r="A68" s="13">
        <v>41.0</v>
      </c>
      <c r="B68" s="48"/>
      <c r="C68" s="5"/>
      <c r="D68" s="5"/>
      <c r="E68" s="5"/>
      <c r="F68" s="41"/>
      <c r="G68" s="41"/>
      <c r="H68" s="41"/>
      <c r="I68" s="41"/>
      <c r="J68" s="41"/>
      <c r="K68" s="4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18">
        <f t="shared" si="4"/>
        <v>0</v>
      </c>
      <c r="AL68" s="18">
        <f t="shared" si="5"/>
        <v>0</v>
      </c>
      <c r="AM68" s="5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</row>
    <row r="69">
      <c r="A69" s="13">
        <v>42.0</v>
      </c>
      <c r="B69" s="48"/>
      <c r="C69" s="5"/>
      <c r="D69" s="5"/>
      <c r="E69" s="5"/>
      <c r="F69" s="41"/>
      <c r="G69" s="41"/>
      <c r="H69" s="41"/>
      <c r="I69" s="41"/>
      <c r="J69" s="41"/>
      <c r="K69" s="4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18">
        <f t="shared" si="4"/>
        <v>0</v>
      </c>
      <c r="AL69" s="18">
        <f t="shared" si="5"/>
        <v>0</v>
      </c>
      <c r="AM69" s="5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</row>
    <row r="70">
      <c r="A70" s="13">
        <v>43.0</v>
      </c>
      <c r="B70" s="48"/>
      <c r="C70" s="5"/>
      <c r="D70" s="5"/>
      <c r="E70" s="5"/>
      <c r="F70" s="41"/>
      <c r="G70" s="41"/>
      <c r="H70" s="41"/>
      <c r="I70" s="41"/>
      <c r="J70" s="41"/>
      <c r="K70" s="4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18">
        <f t="shared" si="4"/>
        <v>0</v>
      </c>
      <c r="AL70" s="18">
        <f t="shared" si="5"/>
        <v>0</v>
      </c>
      <c r="AM70" s="5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</row>
    <row r="71">
      <c r="A71" s="13">
        <v>44.0</v>
      </c>
      <c r="B71" s="48"/>
      <c r="C71" s="5"/>
      <c r="D71" s="5"/>
      <c r="E71" s="5"/>
      <c r="F71" s="41"/>
      <c r="G71" s="41"/>
      <c r="H71" s="41"/>
      <c r="I71" s="41"/>
      <c r="J71" s="41"/>
      <c r="K71" s="4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18">
        <f t="shared" si="4"/>
        <v>0</v>
      </c>
      <c r="AL71" s="18">
        <f t="shared" si="5"/>
        <v>0</v>
      </c>
      <c r="AM71" s="49" t="s">
        <v>337</v>
      </c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</row>
    <row r="72">
      <c r="A72" s="13">
        <v>45.0</v>
      </c>
      <c r="B72" s="48"/>
      <c r="C72" s="5"/>
      <c r="D72" s="5"/>
      <c r="E72" s="5"/>
      <c r="F72" s="41"/>
      <c r="G72" s="41"/>
      <c r="H72" s="41"/>
      <c r="I72" s="41"/>
      <c r="J72" s="41"/>
      <c r="K72" s="4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18">
        <f t="shared" si="4"/>
        <v>0</v>
      </c>
      <c r="AL72" s="18">
        <f t="shared" si="5"/>
        <v>0</v>
      </c>
      <c r="AM72" s="49" t="s">
        <v>342</v>
      </c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</row>
    <row r="73">
      <c r="A73" s="13">
        <v>46.0</v>
      </c>
      <c r="B73" s="48"/>
      <c r="C73" s="5"/>
      <c r="D73" s="5"/>
      <c r="E73" s="5"/>
      <c r="F73" s="41"/>
      <c r="G73" s="41"/>
      <c r="H73" s="41"/>
      <c r="I73" s="41"/>
      <c r="J73" s="41"/>
      <c r="K73" s="4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18">
        <f t="shared" si="4"/>
        <v>0</v>
      </c>
      <c r="AL73" s="18">
        <f t="shared" si="5"/>
        <v>0</v>
      </c>
      <c r="AM73" s="49" t="s">
        <v>347</v>
      </c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</row>
    <row r="74">
      <c r="A74" s="13">
        <v>47.0</v>
      </c>
      <c r="B74" s="48"/>
      <c r="C74" s="5"/>
      <c r="D74" s="5"/>
      <c r="E74" s="5"/>
      <c r="F74" s="41"/>
      <c r="G74" s="41"/>
      <c r="H74" s="41"/>
      <c r="I74" s="41"/>
      <c r="J74" s="41"/>
      <c r="K74" s="4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18">
        <f t="shared" si="4"/>
        <v>0</v>
      </c>
      <c r="AL74" s="18">
        <f t="shared" si="5"/>
        <v>0</v>
      </c>
      <c r="AM74" s="49" t="s">
        <v>352</v>
      </c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</row>
    <row r="75">
      <c r="A75" s="13">
        <v>48.0</v>
      </c>
      <c r="B75" s="48"/>
      <c r="C75" s="5"/>
      <c r="D75" s="5"/>
      <c r="E75" s="5"/>
      <c r="F75" s="41"/>
      <c r="G75" s="41"/>
      <c r="H75" s="41"/>
      <c r="I75" s="41"/>
      <c r="J75" s="41"/>
      <c r="K75" s="4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18">
        <f t="shared" si="4"/>
        <v>0</v>
      </c>
      <c r="AL75" s="18">
        <f t="shared" si="5"/>
        <v>0</v>
      </c>
      <c r="AM75" s="49" t="s">
        <v>358</v>
      </c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</row>
    <row r="76">
      <c r="A76" s="13">
        <v>49.0</v>
      </c>
      <c r="B76" s="48"/>
      <c r="C76" s="5"/>
      <c r="D76" s="5"/>
      <c r="E76" s="5"/>
      <c r="F76" s="41"/>
      <c r="G76" s="41"/>
      <c r="H76" s="41"/>
      <c r="I76" s="41"/>
      <c r="J76" s="41"/>
      <c r="K76" s="4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18">
        <f t="shared" si="4"/>
        <v>0</v>
      </c>
      <c r="AL76" s="18">
        <f t="shared" si="5"/>
        <v>0</v>
      </c>
      <c r="AM76" s="49" t="s">
        <v>362</v>
      </c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</row>
    <row r="77">
      <c r="A77" s="13">
        <v>50.0</v>
      </c>
      <c r="B77" s="48"/>
      <c r="C77" s="5"/>
      <c r="D77" s="5"/>
      <c r="E77" s="5"/>
      <c r="F77" s="41"/>
      <c r="G77" s="41"/>
      <c r="H77" s="41"/>
      <c r="I77" s="41"/>
      <c r="J77" s="41"/>
      <c r="K77" s="4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18">
        <f t="shared" si="4"/>
        <v>0</v>
      </c>
      <c r="AL77" s="18">
        <f t="shared" si="5"/>
        <v>0</v>
      </c>
      <c r="AM77" s="49" t="s">
        <v>368</v>
      </c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</row>
    <row r="78">
      <c r="A78" s="13">
        <v>51.0</v>
      </c>
      <c r="B78" s="48"/>
      <c r="C78" s="5"/>
      <c r="D78" s="5"/>
      <c r="E78" s="5"/>
      <c r="F78" s="41"/>
      <c r="G78" s="41"/>
      <c r="H78" s="41"/>
      <c r="I78" s="41"/>
      <c r="J78" s="41"/>
      <c r="K78" s="4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18">
        <f t="shared" si="4"/>
        <v>0</v>
      </c>
      <c r="AL78" s="18">
        <f t="shared" si="5"/>
        <v>0</v>
      </c>
      <c r="AM78" s="49" t="s">
        <v>372</v>
      </c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</row>
    <row r="79">
      <c r="A79" s="13">
        <v>52.0</v>
      </c>
      <c r="B79" s="48"/>
      <c r="C79" s="5"/>
      <c r="D79" s="5"/>
      <c r="E79" s="5"/>
      <c r="F79" s="41"/>
      <c r="G79" s="41"/>
      <c r="H79" s="41"/>
      <c r="I79" s="41"/>
      <c r="J79" s="41"/>
      <c r="K79" s="4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18">
        <f t="shared" si="4"/>
        <v>0</v>
      </c>
      <c r="AL79" s="18">
        <f t="shared" si="5"/>
        <v>0</v>
      </c>
      <c r="AM79" s="49" t="s">
        <v>376</v>
      </c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</row>
    <row r="80">
      <c r="A80" s="13">
        <v>53.0</v>
      </c>
      <c r="B80" s="48"/>
      <c r="C80" s="5"/>
      <c r="D80" s="5"/>
      <c r="E80" s="5"/>
      <c r="F80" s="41"/>
      <c r="G80" s="41"/>
      <c r="H80" s="41"/>
      <c r="I80" s="41"/>
      <c r="J80" s="41"/>
      <c r="K80" s="41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18">
        <f t="shared" si="4"/>
        <v>0</v>
      </c>
      <c r="AL80" s="18">
        <f t="shared" si="5"/>
        <v>0</v>
      </c>
      <c r="AM80" s="5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</row>
    <row r="81">
      <c r="A81" s="13">
        <v>54.0</v>
      </c>
      <c r="B81" s="48"/>
      <c r="C81" s="5"/>
      <c r="D81" s="5"/>
      <c r="E81" s="5"/>
      <c r="F81" s="41"/>
      <c r="G81" s="41"/>
      <c r="H81" s="41"/>
      <c r="I81" s="41"/>
      <c r="J81" s="41"/>
      <c r="K81" s="4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18">
        <f t="shared" si="4"/>
        <v>0</v>
      </c>
      <c r="AL81" s="18">
        <f t="shared" si="5"/>
        <v>0</v>
      </c>
      <c r="AM81" s="22" t="s">
        <v>383</v>
      </c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</row>
    <row r="82">
      <c r="A82" s="13">
        <v>55.0</v>
      </c>
      <c r="B82" s="48"/>
      <c r="C82" s="5"/>
      <c r="D82" s="5"/>
      <c r="E82" s="5"/>
      <c r="F82" s="41"/>
      <c r="G82" s="41"/>
      <c r="H82" s="41"/>
      <c r="I82" s="41"/>
      <c r="J82" s="41"/>
      <c r="K82" s="41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18">
        <f t="shared" si="4"/>
        <v>0</v>
      </c>
      <c r="AL82" s="18">
        <f t="shared" si="5"/>
        <v>0</v>
      </c>
      <c r="AM82" s="5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</row>
    <row r="83">
      <c r="A83" s="13">
        <v>56.0</v>
      </c>
      <c r="B83" s="48"/>
      <c r="C83" s="5"/>
      <c r="D83" s="5"/>
      <c r="E83" s="5"/>
      <c r="F83" s="41"/>
      <c r="G83" s="41"/>
      <c r="H83" s="41"/>
      <c r="I83" s="41"/>
      <c r="J83" s="41"/>
      <c r="K83" s="41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18">
        <f t="shared" si="4"/>
        <v>0</v>
      </c>
      <c r="AL83" s="18">
        <f t="shared" si="5"/>
        <v>0</v>
      </c>
      <c r="AM83" s="5"/>
      <c r="AN83" s="50" t="s">
        <v>392</v>
      </c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</row>
    <row r="84">
      <c r="A84" s="13">
        <v>57.0</v>
      </c>
      <c r="B84" s="48"/>
      <c r="C84" s="5"/>
      <c r="D84" s="5"/>
      <c r="E84" s="5"/>
      <c r="F84" s="41"/>
      <c r="G84" s="41"/>
      <c r="H84" s="41"/>
      <c r="I84" s="41"/>
      <c r="J84" s="41"/>
      <c r="K84" s="4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18">
        <f t="shared" si="4"/>
        <v>0</v>
      </c>
      <c r="AL84" s="18">
        <f t="shared" si="5"/>
        <v>0</v>
      </c>
      <c r="AM84" s="5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</row>
    <row r="85">
      <c r="A85" s="13">
        <v>58.0</v>
      </c>
      <c r="B85" s="48"/>
      <c r="C85" s="5"/>
      <c r="D85" s="5"/>
      <c r="E85" s="5"/>
      <c r="F85" s="41"/>
      <c r="G85" s="41"/>
      <c r="H85" s="41"/>
      <c r="I85" s="41"/>
      <c r="J85" s="41"/>
      <c r="K85" s="4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18">
        <f t="shared" si="4"/>
        <v>0</v>
      </c>
      <c r="AL85" s="18">
        <f t="shared" si="5"/>
        <v>0</v>
      </c>
      <c r="AM85" s="49" t="s">
        <v>402</v>
      </c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</row>
    <row r="86">
      <c r="A86" s="13">
        <v>59.0</v>
      </c>
      <c r="B86" s="48"/>
      <c r="C86" s="5"/>
      <c r="D86" s="5"/>
      <c r="E86" s="5"/>
      <c r="F86" s="41"/>
      <c r="G86" s="41"/>
      <c r="H86" s="41"/>
      <c r="I86" s="41"/>
      <c r="J86" s="41"/>
      <c r="K86" s="4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18">
        <f t="shared" si="4"/>
        <v>0</v>
      </c>
      <c r="AL86" s="18">
        <f t="shared" si="5"/>
        <v>0</v>
      </c>
      <c r="AM86" s="5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</row>
    <row r="87">
      <c r="A87" s="13">
        <v>60.0</v>
      </c>
      <c r="B87" s="48"/>
      <c r="C87" s="5"/>
      <c r="D87" s="5"/>
      <c r="E87" s="5"/>
      <c r="F87" s="41"/>
      <c r="G87" s="41"/>
      <c r="H87" s="41"/>
      <c r="I87" s="41"/>
      <c r="J87" s="41"/>
      <c r="K87" s="41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18">
        <f t="shared" si="4"/>
        <v>0</v>
      </c>
      <c r="AL87" s="18">
        <f t="shared" si="5"/>
        <v>0</v>
      </c>
      <c r="AM87" s="49" t="s">
        <v>413</v>
      </c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</row>
    <row r="88">
      <c r="A88" s="13">
        <v>61.0</v>
      </c>
      <c r="B88" s="48"/>
      <c r="C88" s="5"/>
      <c r="D88" s="5"/>
      <c r="E88" s="5"/>
      <c r="F88" s="41"/>
      <c r="G88" s="41"/>
      <c r="H88" s="41"/>
      <c r="I88" s="41"/>
      <c r="J88" s="41"/>
      <c r="K88" s="4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18">
        <f t="shared" si="4"/>
        <v>0</v>
      </c>
      <c r="AL88" s="18">
        <f t="shared" si="5"/>
        <v>0</v>
      </c>
      <c r="AM88" s="5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</row>
    <row r="89">
      <c r="A89" s="13">
        <v>62.0</v>
      </c>
      <c r="B89" s="48"/>
      <c r="C89" s="5"/>
      <c r="D89" s="5"/>
      <c r="E89" s="5"/>
      <c r="F89" s="41"/>
      <c r="G89" s="41"/>
      <c r="H89" s="41"/>
      <c r="I89" s="41"/>
      <c r="J89" s="41"/>
      <c r="K89" s="41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18">
        <f t="shared" si="4"/>
        <v>0</v>
      </c>
      <c r="AL89" s="18">
        <f t="shared" si="5"/>
        <v>0</v>
      </c>
      <c r="AM89" s="49" t="s">
        <v>422</v>
      </c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</row>
    <row r="90">
      <c r="A90" s="13">
        <v>63.0</v>
      </c>
      <c r="B90" s="48"/>
      <c r="C90" s="5"/>
      <c r="D90" s="5"/>
      <c r="E90" s="5"/>
      <c r="F90" s="41"/>
      <c r="G90" s="41"/>
      <c r="H90" s="41"/>
      <c r="I90" s="41"/>
      <c r="J90" s="41"/>
      <c r="K90" s="4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18">
        <f t="shared" si="4"/>
        <v>0</v>
      </c>
      <c r="AL90" s="18">
        <f t="shared" si="5"/>
        <v>0</v>
      </c>
      <c r="AM90" s="5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</row>
    <row r="91">
      <c r="A91" s="13">
        <v>64.0</v>
      </c>
      <c r="B91" s="48"/>
      <c r="C91" s="5"/>
      <c r="D91" s="5"/>
      <c r="E91" s="5"/>
      <c r="F91" s="41"/>
      <c r="G91" s="41"/>
      <c r="H91" s="41"/>
      <c r="I91" s="41"/>
      <c r="J91" s="41"/>
      <c r="K91" s="4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18">
        <f t="shared" si="4"/>
        <v>0</v>
      </c>
      <c r="AL91" s="18">
        <f t="shared" si="5"/>
        <v>0</v>
      </c>
      <c r="AM91" s="5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</row>
    <row r="92">
      <c r="A92" s="13">
        <v>65.0</v>
      </c>
      <c r="B92" s="48"/>
      <c r="C92" s="5"/>
      <c r="D92" s="5"/>
      <c r="E92" s="5"/>
      <c r="F92" s="41"/>
      <c r="G92" s="41"/>
      <c r="H92" s="41"/>
      <c r="I92" s="41"/>
      <c r="J92" s="41"/>
      <c r="K92" s="4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18">
        <f t="shared" si="4"/>
        <v>0</v>
      </c>
      <c r="AL92" s="18">
        <f t="shared" si="5"/>
        <v>0</v>
      </c>
      <c r="AM92" s="5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</row>
    <row r="93">
      <c r="A93" s="13">
        <v>66.0</v>
      </c>
      <c r="B93" s="48"/>
      <c r="C93" s="5"/>
      <c r="D93" s="5"/>
      <c r="E93" s="5"/>
      <c r="F93" s="41"/>
      <c r="G93" s="41"/>
      <c r="H93" s="41"/>
      <c r="I93" s="41"/>
      <c r="J93" s="41"/>
      <c r="K93" s="4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18">
        <f t="shared" si="4"/>
        <v>0</v>
      </c>
      <c r="AL93" s="18">
        <f t="shared" si="5"/>
        <v>0</v>
      </c>
      <c r="AM93" s="5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</row>
    <row r="94">
      <c r="A94" s="13">
        <v>67.0</v>
      </c>
      <c r="B94" s="48"/>
      <c r="C94" s="5"/>
      <c r="D94" s="5"/>
      <c r="E94" s="5"/>
      <c r="F94" s="41"/>
      <c r="G94" s="41"/>
      <c r="H94" s="41"/>
      <c r="I94" s="41"/>
      <c r="J94" s="41"/>
      <c r="K94" s="41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18">
        <f t="shared" si="4"/>
        <v>0</v>
      </c>
      <c r="AL94" s="18">
        <f t="shared" si="5"/>
        <v>0</v>
      </c>
      <c r="AM94" s="5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</row>
    <row r="95">
      <c r="A95" s="13">
        <v>68.0</v>
      </c>
      <c r="B95" s="48"/>
      <c r="C95" s="5"/>
      <c r="D95" s="5"/>
      <c r="E95" s="5"/>
      <c r="F95" s="41"/>
      <c r="G95" s="41"/>
      <c r="H95" s="41"/>
      <c r="I95" s="41"/>
      <c r="J95" s="41"/>
      <c r="K95" s="4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18">
        <f t="shared" si="4"/>
        <v>0</v>
      </c>
      <c r="AL95" s="18">
        <f t="shared" si="5"/>
        <v>0</v>
      </c>
      <c r="AM95" s="5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</row>
    <row r="96">
      <c r="A96" s="13">
        <v>69.0</v>
      </c>
      <c r="B96" s="48"/>
      <c r="C96" s="5"/>
      <c r="D96" s="5"/>
      <c r="E96" s="5"/>
      <c r="F96" s="41"/>
      <c r="G96" s="41"/>
      <c r="H96" s="41"/>
      <c r="I96" s="41"/>
      <c r="J96" s="41"/>
      <c r="K96" s="41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18">
        <f t="shared" si="4"/>
        <v>0</v>
      </c>
      <c r="AL96" s="18">
        <f t="shared" si="5"/>
        <v>0</v>
      </c>
      <c r="AM96" s="5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</row>
    <row r="97">
      <c r="A97" s="13">
        <v>70.0</v>
      </c>
      <c r="B97" s="48"/>
      <c r="C97" s="5"/>
      <c r="D97" s="5"/>
      <c r="E97" s="5"/>
      <c r="F97" s="41"/>
      <c r="G97" s="41"/>
      <c r="H97" s="41"/>
      <c r="I97" s="41"/>
      <c r="J97" s="41"/>
      <c r="K97" s="41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18">
        <f t="shared" si="4"/>
        <v>0</v>
      </c>
      <c r="AL97" s="18">
        <f t="shared" si="5"/>
        <v>0</v>
      </c>
      <c r="AM97" s="5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</row>
    <row r="98">
      <c r="A98" s="13">
        <v>71.0</v>
      </c>
      <c r="B98" s="48"/>
      <c r="C98" s="5"/>
      <c r="D98" s="5"/>
      <c r="E98" s="5"/>
      <c r="F98" s="41"/>
      <c r="G98" s="41"/>
      <c r="H98" s="41"/>
      <c r="I98" s="41"/>
      <c r="J98" s="41"/>
      <c r="K98" s="41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18">
        <f t="shared" si="4"/>
        <v>0</v>
      </c>
      <c r="AL98" s="18">
        <f t="shared" si="5"/>
        <v>0</v>
      </c>
      <c r="AM98" s="5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</row>
    <row r="99">
      <c r="A99" s="13">
        <v>72.0</v>
      </c>
      <c r="B99" s="48"/>
      <c r="C99" s="5"/>
      <c r="D99" s="5"/>
      <c r="E99" s="5"/>
      <c r="F99" s="41"/>
      <c r="G99" s="41"/>
      <c r="H99" s="41"/>
      <c r="I99" s="41"/>
      <c r="J99" s="41"/>
      <c r="K99" s="4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18">
        <f t="shared" si="4"/>
        <v>0</v>
      </c>
      <c r="AL99" s="18">
        <f t="shared" si="5"/>
        <v>0</v>
      </c>
      <c r="AM99" s="5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</row>
    <row r="100">
      <c r="A100" s="13">
        <v>73.0</v>
      </c>
      <c r="B100" s="48"/>
      <c r="C100" s="5"/>
      <c r="D100" s="5"/>
      <c r="E100" s="5"/>
      <c r="F100" s="41"/>
      <c r="G100" s="41"/>
      <c r="H100" s="41"/>
      <c r="I100" s="41"/>
      <c r="J100" s="41"/>
      <c r="K100" s="41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18">
        <f t="shared" si="4"/>
        <v>0</v>
      </c>
      <c r="AL100" s="18">
        <f t="shared" si="5"/>
        <v>0</v>
      </c>
      <c r="AM100" s="5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</row>
    <row r="101">
      <c r="A101" s="13">
        <v>74.0</v>
      </c>
      <c r="B101" s="48"/>
      <c r="C101" s="5"/>
      <c r="D101" s="5"/>
      <c r="E101" s="5"/>
      <c r="F101" s="41"/>
      <c r="G101" s="41"/>
      <c r="H101" s="41"/>
      <c r="I101" s="41"/>
      <c r="J101" s="41"/>
      <c r="K101" s="4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18">
        <f t="shared" si="4"/>
        <v>0</v>
      </c>
      <c r="AL101" s="18">
        <f t="shared" si="5"/>
        <v>0</v>
      </c>
      <c r="AM101" s="5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</row>
    <row r="102">
      <c r="A102" s="13">
        <v>75.0</v>
      </c>
      <c r="B102" s="48"/>
      <c r="C102" s="5"/>
      <c r="D102" s="5"/>
      <c r="E102" s="5"/>
      <c r="F102" s="41"/>
      <c r="G102" s="41"/>
      <c r="H102" s="41"/>
      <c r="I102" s="41"/>
      <c r="J102" s="41"/>
      <c r="K102" s="41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18">
        <f t="shared" si="4"/>
        <v>0</v>
      </c>
      <c r="AL102" s="18">
        <f t="shared" si="5"/>
        <v>0</v>
      </c>
      <c r="AM102" s="5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</row>
    <row r="103">
      <c r="A103" s="13">
        <v>76.0</v>
      </c>
      <c r="B103" s="48"/>
      <c r="C103" s="5"/>
      <c r="D103" s="5"/>
      <c r="E103" s="5"/>
      <c r="F103" s="41"/>
      <c r="G103" s="41"/>
      <c r="H103" s="41"/>
      <c r="I103" s="41"/>
      <c r="J103" s="41"/>
      <c r="K103" s="41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18">
        <f t="shared" si="4"/>
        <v>0</v>
      </c>
      <c r="AL103" s="18">
        <f t="shared" si="5"/>
        <v>0</v>
      </c>
      <c r="AM103" s="5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</row>
    <row r="104">
      <c r="A104" s="13">
        <v>77.0</v>
      </c>
      <c r="B104" s="48"/>
      <c r="C104" s="5"/>
      <c r="D104" s="5"/>
      <c r="E104" s="5"/>
      <c r="F104" s="41"/>
      <c r="G104" s="41"/>
      <c r="H104" s="41"/>
      <c r="I104" s="41"/>
      <c r="J104" s="41"/>
      <c r="K104" s="41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18">
        <f t="shared" si="4"/>
        <v>0</v>
      </c>
      <c r="AL104" s="18">
        <f t="shared" si="5"/>
        <v>0</v>
      </c>
      <c r="AM104" s="5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</row>
    <row r="105">
      <c r="A105" s="13">
        <v>78.0</v>
      </c>
      <c r="B105" s="48"/>
      <c r="C105" s="5"/>
      <c r="D105" s="5"/>
      <c r="E105" s="5"/>
      <c r="F105" s="41"/>
      <c r="G105" s="41"/>
      <c r="H105" s="41"/>
      <c r="I105" s="41"/>
      <c r="J105" s="41"/>
      <c r="K105" s="41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18">
        <f t="shared" si="4"/>
        <v>0</v>
      </c>
      <c r="AL105" s="18">
        <f t="shared" si="5"/>
        <v>0</v>
      </c>
      <c r="AM105" s="5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</row>
    <row r="106">
      <c r="A106" s="13">
        <v>79.0</v>
      </c>
      <c r="B106" s="48"/>
      <c r="C106" s="5"/>
      <c r="D106" s="5"/>
      <c r="E106" s="5"/>
      <c r="F106" s="41"/>
      <c r="G106" s="41"/>
      <c r="H106" s="41"/>
      <c r="I106" s="41"/>
      <c r="J106" s="41"/>
      <c r="K106" s="41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18">
        <f t="shared" si="4"/>
        <v>0</v>
      </c>
      <c r="AL106" s="18">
        <f t="shared" si="5"/>
        <v>0</v>
      </c>
      <c r="AM106" s="5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</row>
    <row r="107">
      <c r="A107" s="13">
        <v>80.0</v>
      </c>
      <c r="B107" s="48"/>
      <c r="C107" s="5"/>
      <c r="D107" s="5"/>
      <c r="E107" s="5"/>
      <c r="F107" s="41"/>
      <c r="G107" s="41"/>
      <c r="H107" s="41"/>
      <c r="I107" s="41"/>
      <c r="J107" s="41"/>
      <c r="K107" s="41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18">
        <f t="shared" si="4"/>
        <v>0</v>
      </c>
      <c r="AL107" s="18">
        <f t="shared" si="5"/>
        <v>0</v>
      </c>
      <c r="AM107" s="5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</row>
    <row r="108">
      <c r="A108" s="13">
        <v>81.0</v>
      </c>
      <c r="B108" s="48"/>
      <c r="C108" s="5"/>
      <c r="D108" s="5"/>
      <c r="E108" s="5"/>
      <c r="F108" s="41"/>
      <c r="G108" s="41"/>
      <c r="H108" s="41"/>
      <c r="I108" s="41"/>
      <c r="J108" s="41"/>
      <c r="K108" s="41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18">
        <f t="shared" si="4"/>
        <v>0</v>
      </c>
      <c r="AL108" s="18">
        <f t="shared" si="5"/>
        <v>0</v>
      </c>
      <c r="AM108" s="5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</row>
    <row r="109">
      <c r="A109" s="13">
        <v>82.0</v>
      </c>
      <c r="B109" s="48"/>
      <c r="C109" s="5"/>
      <c r="D109" s="5"/>
      <c r="E109" s="5"/>
      <c r="F109" s="41"/>
      <c r="G109" s="41"/>
      <c r="H109" s="41"/>
      <c r="I109" s="41"/>
      <c r="J109" s="41"/>
      <c r="K109" s="41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18">
        <f t="shared" si="4"/>
        <v>0</v>
      </c>
      <c r="AL109" s="18">
        <f t="shared" si="5"/>
        <v>0</v>
      </c>
      <c r="AM109" s="5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</row>
    <row r="110">
      <c r="A110" s="13">
        <v>83.0</v>
      </c>
      <c r="B110" s="48"/>
      <c r="C110" s="5"/>
      <c r="D110" s="5"/>
      <c r="E110" s="5"/>
      <c r="F110" s="41"/>
      <c r="G110" s="41"/>
      <c r="H110" s="41"/>
      <c r="I110" s="41"/>
      <c r="J110" s="41"/>
      <c r="K110" s="41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18">
        <f t="shared" si="4"/>
        <v>0</v>
      </c>
      <c r="AL110" s="18">
        <f t="shared" si="5"/>
        <v>0</v>
      </c>
      <c r="AM110" s="5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</row>
    <row r="111">
      <c r="A111" s="13">
        <v>84.0</v>
      </c>
      <c r="B111" s="48"/>
      <c r="C111" s="5"/>
      <c r="D111" s="5"/>
      <c r="E111" s="5"/>
      <c r="F111" s="41"/>
      <c r="G111" s="41"/>
      <c r="H111" s="41"/>
      <c r="I111" s="41"/>
      <c r="J111" s="41"/>
      <c r="K111" s="41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18">
        <f t="shared" si="4"/>
        <v>0</v>
      </c>
      <c r="AL111" s="18">
        <f t="shared" si="5"/>
        <v>0</v>
      </c>
      <c r="AM111" s="5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</row>
    <row r="112">
      <c r="A112" s="13">
        <v>85.0</v>
      </c>
      <c r="B112" s="48"/>
      <c r="C112" s="5"/>
      <c r="D112" s="5"/>
      <c r="E112" s="5"/>
      <c r="F112" s="41"/>
      <c r="G112" s="41"/>
      <c r="H112" s="41"/>
      <c r="I112" s="41"/>
      <c r="J112" s="41"/>
      <c r="K112" s="41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18">
        <f t="shared" si="4"/>
        <v>0</v>
      </c>
      <c r="AL112" s="18">
        <f t="shared" si="5"/>
        <v>0</v>
      </c>
      <c r="AM112" s="5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</row>
    <row r="113">
      <c r="A113" s="13">
        <v>86.0</v>
      </c>
      <c r="B113" s="48"/>
      <c r="C113" s="5"/>
      <c r="D113" s="5"/>
      <c r="E113" s="5"/>
      <c r="F113" s="41"/>
      <c r="G113" s="41"/>
      <c r="H113" s="41"/>
      <c r="I113" s="41"/>
      <c r="J113" s="41"/>
      <c r="K113" s="41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18">
        <f t="shared" si="4"/>
        <v>0</v>
      </c>
      <c r="AL113" s="18">
        <f t="shared" si="5"/>
        <v>0</v>
      </c>
      <c r="AM113" s="5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</row>
    <row r="114">
      <c r="A114" s="13">
        <v>87.0</v>
      </c>
      <c r="B114" s="48"/>
      <c r="C114" s="5"/>
      <c r="D114" s="5"/>
      <c r="E114" s="5"/>
      <c r="F114" s="41"/>
      <c r="G114" s="41"/>
      <c r="H114" s="41"/>
      <c r="I114" s="41"/>
      <c r="J114" s="41"/>
      <c r="K114" s="41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18">
        <f t="shared" si="4"/>
        <v>0</v>
      </c>
      <c r="AL114" s="18">
        <f t="shared" si="5"/>
        <v>0</v>
      </c>
      <c r="AM114" s="5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</row>
    <row r="115">
      <c r="A115" s="13">
        <v>88.0</v>
      </c>
      <c r="B115" s="48"/>
      <c r="C115" s="5"/>
      <c r="D115" s="5"/>
      <c r="E115" s="5"/>
      <c r="F115" s="41"/>
      <c r="G115" s="41"/>
      <c r="H115" s="41"/>
      <c r="I115" s="41"/>
      <c r="J115" s="41"/>
      <c r="K115" s="41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18">
        <f t="shared" si="4"/>
        <v>0</v>
      </c>
      <c r="AL115" s="18">
        <f t="shared" si="5"/>
        <v>0</v>
      </c>
      <c r="AM115" s="5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</row>
    <row r="116">
      <c r="A116" s="13">
        <v>89.0</v>
      </c>
      <c r="B116" s="48"/>
      <c r="C116" s="5"/>
      <c r="D116" s="5"/>
      <c r="E116" s="5"/>
      <c r="F116" s="41"/>
      <c r="G116" s="41"/>
      <c r="H116" s="41"/>
      <c r="I116" s="41"/>
      <c r="J116" s="41"/>
      <c r="K116" s="41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18">
        <f t="shared" si="4"/>
        <v>0</v>
      </c>
      <c r="AL116" s="18">
        <f t="shared" si="5"/>
        <v>0</v>
      </c>
      <c r="AM116" s="5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</row>
    <row r="117">
      <c r="A117" s="13">
        <v>90.0</v>
      </c>
      <c r="B117" s="48"/>
      <c r="C117" s="5"/>
      <c r="D117" s="5"/>
      <c r="E117" s="5"/>
      <c r="F117" s="41"/>
      <c r="G117" s="41"/>
      <c r="H117" s="41"/>
      <c r="I117" s="41"/>
      <c r="J117" s="41"/>
      <c r="K117" s="41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18">
        <f t="shared" si="4"/>
        <v>0</v>
      </c>
      <c r="AL117" s="18">
        <f t="shared" si="5"/>
        <v>0</v>
      </c>
      <c r="AM117" s="5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</row>
    <row r="118">
      <c r="A118" s="13">
        <v>91.0</v>
      </c>
      <c r="B118" s="48"/>
      <c r="C118" s="5"/>
      <c r="D118" s="5"/>
      <c r="E118" s="5"/>
      <c r="F118" s="41"/>
      <c r="G118" s="41"/>
      <c r="H118" s="41"/>
      <c r="I118" s="41"/>
      <c r="J118" s="41"/>
      <c r="K118" s="41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18">
        <f t="shared" si="4"/>
        <v>0</v>
      </c>
      <c r="AL118" s="18">
        <f t="shared" si="5"/>
        <v>0</v>
      </c>
      <c r="AM118" s="5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</row>
    <row r="119">
      <c r="A119" s="13">
        <v>92.0</v>
      </c>
      <c r="B119" s="48"/>
      <c r="C119" s="5"/>
      <c r="D119" s="5"/>
      <c r="E119" s="5"/>
      <c r="F119" s="41"/>
      <c r="G119" s="41"/>
      <c r="H119" s="41"/>
      <c r="I119" s="41"/>
      <c r="J119" s="41"/>
      <c r="K119" s="41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18">
        <f t="shared" si="4"/>
        <v>0</v>
      </c>
      <c r="AL119" s="18">
        <f t="shared" si="5"/>
        <v>0</v>
      </c>
      <c r="AM119" s="5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</row>
    <row r="120">
      <c r="A120" s="13">
        <v>93.0</v>
      </c>
      <c r="B120" s="48"/>
      <c r="C120" s="5"/>
      <c r="D120" s="5"/>
      <c r="E120" s="5"/>
      <c r="F120" s="41"/>
      <c r="G120" s="41"/>
      <c r="H120" s="41"/>
      <c r="I120" s="41"/>
      <c r="J120" s="41"/>
      <c r="K120" s="41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18">
        <f t="shared" si="4"/>
        <v>0</v>
      </c>
      <c r="AL120" s="18">
        <f t="shared" si="5"/>
        <v>0</v>
      </c>
      <c r="AM120" s="5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</row>
    <row r="121">
      <c r="A121" s="13">
        <v>94.0</v>
      </c>
      <c r="B121" s="48"/>
      <c r="C121" s="5"/>
      <c r="D121" s="5"/>
      <c r="E121" s="5"/>
      <c r="F121" s="41"/>
      <c r="G121" s="41"/>
      <c r="H121" s="41"/>
      <c r="I121" s="41"/>
      <c r="J121" s="41"/>
      <c r="K121" s="41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18">
        <f t="shared" si="4"/>
        <v>0</v>
      </c>
      <c r="AL121" s="18">
        <f t="shared" si="5"/>
        <v>0</v>
      </c>
      <c r="AM121" s="5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</row>
    <row r="122">
      <c r="A122" s="13">
        <v>95.0</v>
      </c>
      <c r="B122" s="48"/>
      <c r="C122" s="5"/>
      <c r="D122" s="5"/>
      <c r="E122" s="5"/>
      <c r="F122" s="41"/>
      <c r="G122" s="41"/>
      <c r="H122" s="41"/>
      <c r="I122" s="41"/>
      <c r="J122" s="41"/>
      <c r="K122" s="41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18">
        <f t="shared" si="4"/>
        <v>0</v>
      </c>
      <c r="AL122" s="18">
        <f t="shared" si="5"/>
        <v>0</v>
      </c>
      <c r="AM122" s="5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</row>
    <row r="123">
      <c r="A123" s="13">
        <v>96.0</v>
      </c>
      <c r="B123" s="48"/>
      <c r="C123" s="5"/>
      <c r="D123" s="5"/>
      <c r="E123" s="5"/>
      <c r="F123" s="41"/>
      <c r="G123" s="41"/>
      <c r="H123" s="41"/>
      <c r="I123" s="41"/>
      <c r="J123" s="41"/>
      <c r="K123" s="41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18">
        <f t="shared" si="4"/>
        <v>0</v>
      </c>
      <c r="AL123" s="18">
        <f t="shared" si="5"/>
        <v>0</v>
      </c>
      <c r="AM123" s="5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</row>
    <row r="124">
      <c r="A124" s="13">
        <v>97.0</v>
      </c>
      <c r="B124" s="48"/>
      <c r="C124" s="5"/>
      <c r="D124" s="5"/>
      <c r="E124" s="5"/>
      <c r="F124" s="41"/>
      <c r="G124" s="41"/>
      <c r="H124" s="41"/>
      <c r="I124" s="41"/>
      <c r="J124" s="41"/>
      <c r="K124" s="41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18">
        <f t="shared" si="4"/>
        <v>0</v>
      </c>
      <c r="AL124" s="18">
        <f t="shared" si="5"/>
        <v>0</v>
      </c>
      <c r="AM124" s="5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</row>
    <row r="125">
      <c r="A125" s="13">
        <v>98.0</v>
      </c>
      <c r="B125" s="48"/>
      <c r="C125" s="5"/>
      <c r="D125" s="5"/>
      <c r="E125" s="5"/>
      <c r="F125" s="41"/>
      <c r="G125" s="41"/>
      <c r="H125" s="41"/>
      <c r="I125" s="41"/>
      <c r="J125" s="41"/>
      <c r="K125" s="4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18">
        <f t="shared" si="4"/>
        <v>0</v>
      </c>
      <c r="AL125" s="18">
        <f t="shared" si="5"/>
        <v>0</v>
      </c>
      <c r="AM125" s="5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</row>
    <row r="126">
      <c r="A126" s="13">
        <v>99.0</v>
      </c>
      <c r="B126" s="48"/>
      <c r="C126" s="5"/>
      <c r="D126" s="5"/>
      <c r="E126" s="5"/>
      <c r="F126" s="41"/>
      <c r="G126" s="41"/>
      <c r="H126" s="41"/>
      <c r="I126" s="41"/>
      <c r="J126" s="41"/>
      <c r="K126" s="41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18">
        <f t="shared" si="4"/>
        <v>0</v>
      </c>
      <c r="AL126" s="18">
        <f t="shared" si="5"/>
        <v>0</v>
      </c>
      <c r="AM126" s="5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</row>
    <row r="127">
      <c r="A127" s="13">
        <v>100.0</v>
      </c>
      <c r="B127" s="48"/>
      <c r="C127" s="5"/>
      <c r="D127" s="5"/>
      <c r="E127" s="5"/>
      <c r="F127" s="41"/>
      <c r="G127" s="41"/>
      <c r="H127" s="41"/>
      <c r="I127" s="41"/>
      <c r="J127" s="41"/>
      <c r="K127" s="41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18">
        <f t="shared" si="4"/>
        <v>0</v>
      </c>
      <c r="AL127" s="18">
        <f t="shared" si="5"/>
        <v>0</v>
      </c>
      <c r="AM127" s="5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</row>
    <row r="128">
      <c r="A128" s="13">
        <v>101.0</v>
      </c>
      <c r="B128" s="48"/>
      <c r="C128" s="5"/>
      <c r="D128" s="5"/>
      <c r="E128" s="5"/>
      <c r="F128" s="41"/>
      <c r="G128" s="41"/>
      <c r="H128" s="41"/>
      <c r="I128" s="41"/>
      <c r="J128" s="41"/>
      <c r="K128" s="41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18">
        <f t="shared" si="4"/>
        <v>0</v>
      </c>
      <c r="AL128" s="18">
        <f t="shared" si="5"/>
        <v>0</v>
      </c>
      <c r="AM128" s="5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</row>
    <row r="129">
      <c r="A129" s="13">
        <v>102.0</v>
      </c>
      <c r="B129" s="48"/>
      <c r="C129" s="5"/>
      <c r="D129" s="5"/>
      <c r="E129" s="5"/>
      <c r="F129" s="41"/>
      <c r="G129" s="41"/>
      <c r="H129" s="41"/>
      <c r="I129" s="41"/>
      <c r="J129" s="41"/>
      <c r="K129" s="41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18">
        <f t="shared" si="4"/>
        <v>0</v>
      </c>
      <c r="AL129" s="18">
        <f t="shared" si="5"/>
        <v>0</v>
      </c>
      <c r="AM129" s="5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</row>
    <row r="130">
      <c r="A130" s="13">
        <v>103.0</v>
      </c>
      <c r="B130" s="48"/>
      <c r="C130" s="5"/>
      <c r="D130" s="5"/>
      <c r="E130" s="5"/>
      <c r="F130" s="41"/>
      <c r="G130" s="41"/>
      <c r="H130" s="41"/>
      <c r="I130" s="41"/>
      <c r="J130" s="41"/>
      <c r="K130" s="41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18">
        <f t="shared" si="4"/>
        <v>0</v>
      </c>
      <c r="AL130" s="18">
        <f t="shared" si="5"/>
        <v>0</v>
      </c>
      <c r="AM130" s="5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</row>
    <row r="131">
      <c r="A131" s="13">
        <v>104.0</v>
      </c>
      <c r="B131" s="48"/>
      <c r="C131" s="5"/>
      <c r="D131" s="5"/>
      <c r="E131" s="5"/>
      <c r="F131" s="41"/>
      <c r="G131" s="41"/>
      <c r="H131" s="41"/>
      <c r="I131" s="41"/>
      <c r="J131" s="41"/>
      <c r="K131" s="41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18">
        <f t="shared" si="4"/>
        <v>0</v>
      </c>
      <c r="AL131" s="18">
        <f t="shared" si="5"/>
        <v>0</v>
      </c>
      <c r="AM131" s="5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</row>
    <row r="132">
      <c r="A132" s="13">
        <v>105.0</v>
      </c>
      <c r="B132" s="48"/>
      <c r="C132" s="5"/>
      <c r="D132" s="5"/>
      <c r="E132" s="5"/>
      <c r="F132" s="41"/>
      <c r="G132" s="41"/>
      <c r="H132" s="41"/>
      <c r="I132" s="41"/>
      <c r="J132" s="41"/>
      <c r="K132" s="4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18">
        <f t="shared" si="4"/>
        <v>0</v>
      </c>
      <c r="AL132" s="18">
        <f t="shared" si="5"/>
        <v>0</v>
      </c>
      <c r="AM132" s="5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</row>
    <row r="133">
      <c r="A133" s="13">
        <v>106.0</v>
      </c>
      <c r="B133" s="48"/>
      <c r="C133" s="5"/>
      <c r="D133" s="5"/>
      <c r="E133" s="5"/>
      <c r="F133" s="41"/>
      <c r="G133" s="41"/>
      <c r="H133" s="41"/>
      <c r="I133" s="41"/>
      <c r="J133" s="41"/>
      <c r="K133" s="41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18">
        <f t="shared" si="4"/>
        <v>0</v>
      </c>
      <c r="AL133" s="18">
        <f t="shared" si="5"/>
        <v>0</v>
      </c>
      <c r="AM133" s="5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</row>
    <row r="134">
      <c r="A134" s="13">
        <v>107.0</v>
      </c>
      <c r="B134" s="48"/>
      <c r="C134" s="5"/>
      <c r="D134" s="5"/>
      <c r="E134" s="5"/>
      <c r="F134" s="41"/>
      <c r="G134" s="41"/>
      <c r="H134" s="41"/>
      <c r="I134" s="41"/>
      <c r="J134" s="41"/>
      <c r="K134" s="41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18">
        <f t="shared" si="4"/>
        <v>0</v>
      </c>
      <c r="AL134" s="18">
        <f t="shared" si="5"/>
        <v>0</v>
      </c>
      <c r="AM134" s="5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</row>
    <row r="135">
      <c r="A135" s="13">
        <v>108.0</v>
      </c>
      <c r="B135" s="48"/>
      <c r="C135" s="5"/>
      <c r="D135" s="5"/>
      <c r="E135" s="5"/>
      <c r="F135" s="41"/>
      <c r="G135" s="41"/>
      <c r="H135" s="41"/>
      <c r="I135" s="41"/>
      <c r="J135" s="41"/>
      <c r="K135" s="41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18">
        <f t="shared" si="4"/>
        <v>0</v>
      </c>
      <c r="AL135" s="18">
        <f t="shared" si="5"/>
        <v>0</v>
      </c>
      <c r="AM135" s="5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</row>
    <row r="136">
      <c r="A136" s="13">
        <v>109.0</v>
      </c>
      <c r="B136" s="48"/>
      <c r="C136" s="5"/>
      <c r="D136" s="5"/>
      <c r="E136" s="5"/>
      <c r="F136" s="41"/>
      <c r="G136" s="41"/>
      <c r="H136" s="41"/>
      <c r="I136" s="41"/>
      <c r="J136" s="41"/>
      <c r="K136" s="41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18">
        <f t="shared" si="4"/>
        <v>0</v>
      </c>
      <c r="AL136" s="18">
        <f t="shared" si="5"/>
        <v>0</v>
      </c>
      <c r="AM136" s="5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</row>
    <row r="137">
      <c r="A137" s="13">
        <v>110.0</v>
      </c>
      <c r="B137" s="48"/>
      <c r="C137" s="5"/>
      <c r="D137" s="5"/>
      <c r="E137" s="5"/>
      <c r="F137" s="41"/>
      <c r="G137" s="41"/>
      <c r="H137" s="41"/>
      <c r="I137" s="41"/>
      <c r="J137" s="41"/>
      <c r="K137" s="41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18">
        <f t="shared" si="4"/>
        <v>0</v>
      </c>
      <c r="AL137" s="18">
        <f t="shared" si="5"/>
        <v>0</v>
      </c>
      <c r="AM137" s="5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</row>
    <row r="138">
      <c r="A138" s="13">
        <v>111.0</v>
      </c>
      <c r="B138" s="48"/>
      <c r="C138" s="5"/>
      <c r="D138" s="5"/>
      <c r="E138" s="5"/>
      <c r="F138" s="41"/>
      <c r="G138" s="41"/>
      <c r="H138" s="41"/>
      <c r="I138" s="41"/>
      <c r="J138" s="41"/>
      <c r="K138" s="41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18">
        <f t="shared" si="4"/>
        <v>0</v>
      </c>
      <c r="AL138" s="18">
        <f t="shared" si="5"/>
        <v>0</v>
      </c>
      <c r="AM138" s="5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</row>
    <row r="139">
      <c r="A139" s="13">
        <v>112.0</v>
      </c>
      <c r="B139" s="48"/>
      <c r="C139" s="5"/>
      <c r="D139" s="5"/>
      <c r="E139" s="5"/>
      <c r="F139" s="41"/>
      <c r="G139" s="41"/>
      <c r="H139" s="41"/>
      <c r="I139" s="41"/>
      <c r="J139" s="41"/>
      <c r="K139" s="41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18">
        <f t="shared" si="4"/>
        <v>0</v>
      </c>
      <c r="AL139" s="18">
        <f t="shared" si="5"/>
        <v>0</v>
      </c>
      <c r="AM139" s="5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</row>
    <row r="140">
      <c r="A140" s="13">
        <v>113.0</v>
      </c>
      <c r="B140" s="48"/>
      <c r="C140" s="5"/>
      <c r="D140" s="5"/>
      <c r="E140" s="5"/>
      <c r="F140" s="41"/>
      <c r="G140" s="41"/>
      <c r="H140" s="41"/>
      <c r="I140" s="41"/>
      <c r="J140" s="41"/>
      <c r="K140" s="4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18">
        <f t="shared" si="4"/>
        <v>0</v>
      </c>
      <c r="AL140" s="18">
        <f t="shared" si="5"/>
        <v>0</v>
      </c>
      <c r="AM140" s="5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</row>
    <row r="141">
      <c r="A141" s="13">
        <v>114.0</v>
      </c>
      <c r="B141" s="48"/>
      <c r="C141" s="5"/>
      <c r="D141" s="5"/>
      <c r="E141" s="5"/>
      <c r="F141" s="41"/>
      <c r="G141" s="41"/>
      <c r="H141" s="41"/>
      <c r="I141" s="41"/>
      <c r="J141" s="41"/>
      <c r="K141" s="4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18">
        <f t="shared" si="4"/>
        <v>0</v>
      </c>
      <c r="AL141" s="18">
        <f t="shared" si="5"/>
        <v>0</v>
      </c>
      <c r="AM141" s="5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</row>
    <row r="142">
      <c r="A142" s="13">
        <v>115.0</v>
      </c>
      <c r="B142" s="48"/>
      <c r="C142" s="5"/>
      <c r="D142" s="5"/>
      <c r="E142" s="5"/>
      <c r="F142" s="41"/>
      <c r="G142" s="41"/>
      <c r="H142" s="41"/>
      <c r="I142" s="41"/>
      <c r="J142" s="41"/>
      <c r="K142" s="41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18">
        <f t="shared" si="4"/>
        <v>0</v>
      </c>
      <c r="AL142" s="18">
        <f t="shared" si="5"/>
        <v>0</v>
      </c>
      <c r="AM142" s="5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</row>
    <row r="143">
      <c r="A143" s="13">
        <v>116.0</v>
      </c>
      <c r="B143" s="48"/>
      <c r="C143" s="5"/>
      <c r="D143" s="5"/>
      <c r="E143" s="5"/>
      <c r="F143" s="41"/>
      <c r="G143" s="41"/>
      <c r="H143" s="41"/>
      <c r="I143" s="41"/>
      <c r="J143" s="41"/>
      <c r="K143" s="41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18">
        <f t="shared" si="4"/>
        <v>0</v>
      </c>
      <c r="AL143" s="18">
        <f t="shared" si="5"/>
        <v>0</v>
      </c>
      <c r="AM143" s="5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</row>
    <row r="144">
      <c r="A144" s="13">
        <v>117.0</v>
      </c>
      <c r="B144" s="48"/>
      <c r="C144" s="5"/>
      <c r="D144" s="5"/>
      <c r="E144" s="5"/>
      <c r="F144" s="41"/>
      <c r="G144" s="41"/>
      <c r="H144" s="41"/>
      <c r="I144" s="41"/>
      <c r="J144" s="41"/>
      <c r="K144" s="4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18">
        <f t="shared" si="4"/>
        <v>0</v>
      </c>
      <c r="AL144" s="18">
        <f t="shared" si="5"/>
        <v>0</v>
      </c>
      <c r="AM144" s="5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</row>
    <row r="145">
      <c r="A145" s="13">
        <v>118.0</v>
      </c>
      <c r="B145" s="48"/>
      <c r="C145" s="5"/>
      <c r="D145" s="5"/>
      <c r="E145" s="5"/>
      <c r="F145" s="41"/>
      <c r="G145" s="41"/>
      <c r="H145" s="41"/>
      <c r="I145" s="41"/>
      <c r="J145" s="41"/>
      <c r="K145" s="4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18">
        <f t="shared" si="4"/>
        <v>0</v>
      </c>
      <c r="AL145" s="18">
        <f t="shared" si="5"/>
        <v>0</v>
      </c>
      <c r="AM145" s="5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</row>
    <row r="146">
      <c r="A146" s="13">
        <v>119.0</v>
      </c>
      <c r="B146" s="48"/>
      <c r="C146" s="5"/>
      <c r="D146" s="5"/>
      <c r="E146" s="5"/>
      <c r="F146" s="41"/>
      <c r="G146" s="41"/>
      <c r="H146" s="41"/>
      <c r="I146" s="41"/>
      <c r="J146" s="41"/>
      <c r="K146" s="41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18">
        <f t="shared" si="4"/>
        <v>0</v>
      </c>
      <c r="AL146" s="18">
        <f t="shared" si="5"/>
        <v>0</v>
      </c>
      <c r="AM146" s="5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</row>
    <row r="147">
      <c r="A147" s="13">
        <v>120.0</v>
      </c>
      <c r="B147" s="48"/>
      <c r="C147" s="5"/>
      <c r="D147" s="5"/>
      <c r="E147" s="5"/>
      <c r="F147" s="41"/>
      <c r="G147" s="41"/>
      <c r="H147" s="41"/>
      <c r="I147" s="41"/>
      <c r="J147" s="41"/>
      <c r="K147" s="41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18">
        <f t="shared" si="4"/>
        <v>0</v>
      </c>
      <c r="AL147" s="18">
        <f t="shared" si="5"/>
        <v>0</v>
      </c>
      <c r="AM147" s="5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</row>
    <row r="148">
      <c r="A148" s="13">
        <v>121.0</v>
      </c>
      <c r="B148" s="48"/>
      <c r="C148" s="5"/>
      <c r="D148" s="5"/>
      <c r="E148" s="5"/>
      <c r="F148" s="41"/>
      <c r="G148" s="41"/>
      <c r="H148" s="41"/>
      <c r="I148" s="41"/>
      <c r="J148" s="41"/>
      <c r="K148" s="4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18">
        <f t="shared" si="4"/>
        <v>0</v>
      </c>
      <c r="AL148" s="18">
        <f t="shared" si="5"/>
        <v>0</v>
      </c>
      <c r="AM148" s="5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</row>
    <row r="149">
      <c r="A149" s="13">
        <v>122.0</v>
      </c>
      <c r="B149" s="48"/>
      <c r="C149" s="5"/>
      <c r="D149" s="5"/>
      <c r="E149" s="5"/>
      <c r="F149" s="41"/>
      <c r="G149" s="41"/>
      <c r="H149" s="41"/>
      <c r="I149" s="41"/>
      <c r="J149" s="41"/>
      <c r="K149" s="41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18">
        <f t="shared" si="4"/>
        <v>0</v>
      </c>
      <c r="AL149" s="18">
        <f t="shared" si="5"/>
        <v>0</v>
      </c>
      <c r="AM149" s="5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</row>
    <row r="150">
      <c r="A150" s="13">
        <v>123.0</v>
      </c>
      <c r="B150" s="48"/>
      <c r="C150" s="5"/>
      <c r="D150" s="5"/>
      <c r="E150" s="5"/>
      <c r="F150" s="41"/>
      <c r="G150" s="41"/>
      <c r="H150" s="41"/>
      <c r="I150" s="41"/>
      <c r="J150" s="41"/>
      <c r="K150" s="41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18">
        <f t="shared" si="4"/>
        <v>0</v>
      </c>
      <c r="AL150" s="18">
        <f t="shared" si="5"/>
        <v>0</v>
      </c>
      <c r="AM150" s="5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</row>
    <row r="151">
      <c r="A151" s="13">
        <v>124.0</v>
      </c>
      <c r="B151" s="48"/>
      <c r="C151" s="5"/>
      <c r="D151" s="5"/>
      <c r="E151" s="5"/>
      <c r="F151" s="41"/>
      <c r="G151" s="41"/>
      <c r="H151" s="41"/>
      <c r="I151" s="41"/>
      <c r="J151" s="41"/>
      <c r="K151" s="41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18">
        <f t="shared" si="4"/>
        <v>0</v>
      </c>
      <c r="AL151" s="18">
        <f t="shared" si="5"/>
        <v>0</v>
      </c>
      <c r="AM151" s="5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</row>
    <row r="152">
      <c r="A152" s="13">
        <v>125.0</v>
      </c>
      <c r="B152" s="48"/>
      <c r="C152" s="5"/>
      <c r="D152" s="5"/>
      <c r="E152" s="5"/>
      <c r="F152" s="41"/>
      <c r="G152" s="41"/>
      <c r="H152" s="41"/>
      <c r="I152" s="41"/>
      <c r="J152" s="41"/>
      <c r="K152" s="4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18">
        <f t="shared" si="4"/>
        <v>0</v>
      </c>
      <c r="AL152" s="18">
        <f t="shared" si="5"/>
        <v>0</v>
      </c>
      <c r="AM152" s="5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</row>
    <row r="153">
      <c r="A153" s="13">
        <v>126.0</v>
      </c>
      <c r="B153" s="48"/>
      <c r="C153" s="5"/>
      <c r="D153" s="5"/>
      <c r="E153" s="5"/>
      <c r="F153" s="41"/>
      <c r="G153" s="41"/>
      <c r="H153" s="41"/>
      <c r="I153" s="41"/>
      <c r="J153" s="41"/>
      <c r="K153" s="41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18">
        <f t="shared" si="4"/>
        <v>0</v>
      </c>
      <c r="AL153" s="18">
        <f t="shared" si="5"/>
        <v>0</v>
      </c>
      <c r="AM153" s="5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</row>
    <row r="154">
      <c r="A154" s="13">
        <v>127.0</v>
      </c>
      <c r="B154" s="48"/>
      <c r="C154" s="5"/>
      <c r="D154" s="5"/>
      <c r="E154" s="5"/>
      <c r="F154" s="41"/>
      <c r="G154" s="41"/>
      <c r="H154" s="41"/>
      <c r="I154" s="41"/>
      <c r="J154" s="41"/>
      <c r="K154" s="41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18">
        <f t="shared" si="4"/>
        <v>0</v>
      </c>
      <c r="AL154" s="18">
        <f t="shared" si="5"/>
        <v>0</v>
      </c>
      <c r="AM154" s="5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</row>
    <row r="155">
      <c r="A155" s="13">
        <v>128.0</v>
      </c>
      <c r="B155" s="48"/>
      <c r="C155" s="5"/>
      <c r="D155" s="5"/>
      <c r="E155" s="5"/>
      <c r="F155" s="41"/>
      <c r="G155" s="41"/>
      <c r="H155" s="41"/>
      <c r="I155" s="41"/>
      <c r="J155" s="41"/>
      <c r="K155" s="41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18">
        <f t="shared" si="4"/>
        <v>0</v>
      </c>
      <c r="AL155" s="18">
        <f t="shared" si="5"/>
        <v>0</v>
      </c>
      <c r="AM155" s="5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</row>
    <row r="156">
      <c r="A156" s="13">
        <v>129.0</v>
      </c>
      <c r="B156" s="48"/>
      <c r="C156" s="5"/>
      <c r="D156" s="5"/>
      <c r="E156" s="5"/>
      <c r="F156" s="41"/>
      <c r="G156" s="41"/>
      <c r="H156" s="41"/>
      <c r="I156" s="41"/>
      <c r="J156" s="41"/>
      <c r="K156" s="41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18">
        <f t="shared" si="4"/>
        <v>0</v>
      </c>
      <c r="AL156" s="18">
        <f t="shared" si="5"/>
        <v>0</v>
      </c>
      <c r="AM156" s="5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</row>
    <row r="157">
      <c r="A157" s="13">
        <v>130.0</v>
      </c>
      <c r="B157" s="48"/>
      <c r="C157" s="5"/>
      <c r="D157" s="5"/>
      <c r="E157" s="5"/>
      <c r="F157" s="41"/>
      <c r="G157" s="41"/>
      <c r="H157" s="41"/>
      <c r="I157" s="41"/>
      <c r="J157" s="41"/>
      <c r="K157" s="41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18">
        <f t="shared" si="4"/>
        <v>0</v>
      </c>
      <c r="AL157" s="18">
        <f t="shared" si="5"/>
        <v>0</v>
      </c>
      <c r="AM157" s="5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</row>
    <row r="158">
      <c r="A158" s="13">
        <v>131.0</v>
      </c>
      <c r="B158" s="48"/>
      <c r="C158" s="5"/>
      <c r="D158" s="5"/>
      <c r="E158" s="5"/>
      <c r="F158" s="41"/>
      <c r="G158" s="41"/>
      <c r="H158" s="41"/>
      <c r="I158" s="41"/>
      <c r="J158" s="41"/>
      <c r="K158" s="41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18">
        <f t="shared" si="4"/>
        <v>0</v>
      </c>
      <c r="AL158" s="18">
        <f t="shared" si="5"/>
        <v>0</v>
      </c>
      <c r="AM158" s="5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</row>
    <row r="159">
      <c r="A159" s="13">
        <v>132.0</v>
      </c>
      <c r="B159" s="48"/>
      <c r="C159" s="5"/>
      <c r="D159" s="5"/>
      <c r="E159" s="5"/>
      <c r="F159" s="41"/>
      <c r="G159" s="41"/>
      <c r="H159" s="41"/>
      <c r="I159" s="41"/>
      <c r="J159" s="41"/>
      <c r="K159" s="41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18">
        <f t="shared" si="4"/>
        <v>0</v>
      </c>
      <c r="AL159" s="18">
        <f t="shared" si="5"/>
        <v>0</v>
      </c>
      <c r="AM159" s="5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</row>
    <row r="160">
      <c r="A160" s="13">
        <v>133.0</v>
      </c>
      <c r="B160" s="48"/>
      <c r="C160" s="5"/>
      <c r="D160" s="5"/>
      <c r="E160" s="5"/>
      <c r="F160" s="41"/>
      <c r="G160" s="41"/>
      <c r="H160" s="41"/>
      <c r="I160" s="41"/>
      <c r="J160" s="41"/>
      <c r="K160" s="41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18">
        <f t="shared" si="4"/>
        <v>0</v>
      </c>
      <c r="AL160" s="18">
        <f t="shared" si="5"/>
        <v>0</v>
      </c>
      <c r="AM160" s="5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</row>
    <row r="161">
      <c r="A161" s="13">
        <v>134.0</v>
      </c>
      <c r="B161" s="48"/>
      <c r="C161" s="5"/>
      <c r="D161" s="5"/>
      <c r="E161" s="5"/>
      <c r="F161" s="41"/>
      <c r="G161" s="41"/>
      <c r="H161" s="41"/>
      <c r="I161" s="41"/>
      <c r="J161" s="41"/>
      <c r="K161" s="41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18">
        <f t="shared" si="4"/>
        <v>0</v>
      </c>
      <c r="AL161" s="18">
        <f t="shared" si="5"/>
        <v>0</v>
      </c>
      <c r="AM161" s="5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</row>
    <row r="162">
      <c r="A162" s="13">
        <v>135.0</v>
      </c>
      <c r="B162" s="48"/>
      <c r="C162" s="5"/>
      <c r="D162" s="5"/>
      <c r="E162" s="5"/>
      <c r="F162" s="41"/>
      <c r="G162" s="41"/>
      <c r="H162" s="41"/>
      <c r="I162" s="41"/>
      <c r="J162" s="41"/>
      <c r="K162" s="41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18">
        <f t="shared" si="4"/>
        <v>0</v>
      </c>
      <c r="AL162" s="18">
        <f t="shared" si="5"/>
        <v>0</v>
      </c>
      <c r="AM162" s="5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</row>
    <row r="163">
      <c r="A163" s="13">
        <v>136.0</v>
      </c>
      <c r="B163" s="48"/>
      <c r="C163" s="5"/>
      <c r="D163" s="5"/>
      <c r="E163" s="5"/>
      <c r="F163" s="41"/>
      <c r="G163" s="41"/>
      <c r="H163" s="41"/>
      <c r="I163" s="41"/>
      <c r="J163" s="41"/>
      <c r="K163" s="41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18">
        <f t="shared" si="4"/>
        <v>0</v>
      </c>
      <c r="AL163" s="18">
        <f t="shared" si="5"/>
        <v>0</v>
      </c>
      <c r="AM163" s="5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</row>
    <row r="164">
      <c r="A164" s="13">
        <v>137.0</v>
      </c>
      <c r="B164" s="48"/>
      <c r="C164" s="5"/>
      <c r="D164" s="5"/>
      <c r="E164" s="5"/>
      <c r="F164" s="41"/>
      <c r="G164" s="41"/>
      <c r="H164" s="41"/>
      <c r="I164" s="41"/>
      <c r="J164" s="41"/>
      <c r="K164" s="4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18">
        <f t="shared" si="4"/>
        <v>0</v>
      </c>
      <c r="AL164" s="18">
        <f t="shared" si="5"/>
        <v>0</v>
      </c>
      <c r="AM164" s="5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</row>
    <row r="165">
      <c r="A165" s="13">
        <v>138.0</v>
      </c>
      <c r="B165" s="48"/>
      <c r="C165" s="5"/>
      <c r="D165" s="5"/>
      <c r="E165" s="5"/>
      <c r="F165" s="41"/>
      <c r="G165" s="41"/>
      <c r="H165" s="41"/>
      <c r="I165" s="41"/>
      <c r="J165" s="41"/>
      <c r="K165" s="41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18">
        <f t="shared" si="4"/>
        <v>0</v>
      </c>
      <c r="AL165" s="18">
        <f t="shared" si="5"/>
        <v>0</v>
      </c>
      <c r="AM165" s="5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</row>
    <row r="166">
      <c r="A166" s="13">
        <v>139.0</v>
      </c>
      <c r="B166" s="48"/>
      <c r="C166" s="5"/>
      <c r="D166" s="5"/>
      <c r="E166" s="5"/>
      <c r="F166" s="41"/>
      <c r="G166" s="41"/>
      <c r="H166" s="41"/>
      <c r="I166" s="41"/>
      <c r="J166" s="41"/>
      <c r="K166" s="4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18">
        <f t="shared" si="4"/>
        <v>0</v>
      </c>
      <c r="AL166" s="18">
        <f t="shared" si="5"/>
        <v>0</v>
      </c>
      <c r="AM166" s="49" t="s">
        <v>642</v>
      </c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</row>
    <row r="167">
      <c r="A167" s="13">
        <v>140.0</v>
      </c>
      <c r="B167" s="48"/>
      <c r="C167" s="5"/>
      <c r="D167" s="5"/>
      <c r="E167" s="5"/>
      <c r="F167" s="41"/>
      <c r="G167" s="41"/>
      <c r="H167" s="41"/>
      <c r="I167" s="41"/>
      <c r="J167" s="41"/>
      <c r="K167" s="41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18">
        <f t="shared" si="4"/>
        <v>0</v>
      </c>
      <c r="AL167" s="18">
        <f t="shared" si="5"/>
        <v>0</v>
      </c>
      <c r="AM167" s="5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</row>
    <row r="168">
      <c r="A168" s="13">
        <v>141.0</v>
      </c>
      <c r="B168" s="48"/>
      <c r="C168" s="5"/>
      <c r="D168" s="5"/>
      <c r="E168" s="5"/>
      <c r="F168" s="41"/>
      <c r="G168" s="41"/>
      <c r="H168" s="41"/>
      <c r="I168" s="41"/>
      <c r="J168" s="41"/>
      <c r="K168" s="41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18">
        <f t="shared" si="4"/>
        <v>0</v>
      </c>
      <c r="AL168" s="18">
        <f t="shared" si="5"/>
        <v>0</v>
      </c>
      <c r="AM168" s="5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</row>
    <row r="169">
      <c r="A169" s="13">
        <v>142.0</v>
      </c>
      <c r="B169" s="48"/>
      <c r="C169" s="5"/>
      <c r="D169" s="5"/>
      <c r="E169" s="5"/>
      <c r="F169" s="41"/>
      <c r="G169" s="41"/>
      <c r="H169" s="41"/>
      <c r="I169" s="41"/>
      <c r="J169" s="41"/>
      <c r="K169" s="41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18">
        <f t="shared" si="4"/>
        <v>0</v>
      </c>
      <c r="AL169" s="18">
        <f t="shared" si="5"/>
        <v>0</v>
      </c>
      <c r="AM169" s="5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</row>
    <row r="170">
      <c r="A170" s="13">
        <v>143.0</v>
      </c>
      <c r="B170" s="48"/>
      <c r="C170" s="5"/>
      <c r="D170" s="5"/>
      <c r="E170" s="5"/>
      <c r="F170" s="41"/>
      <c r="G170" s="41"/>
      <c r="H170" s="41"/>
      <c r="I170" s="41"/>
      <c r="J170" s="41"/>
      <c r="K170" s="41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18">
        <f t="shared" si="4"/>
        <v>0</v>
      </c>
      <c r="AL170" s="18">
        <f t="shared" si="5"/>
        <v>0</v>
      </c>
      <c r="AM170" s="5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</row>
    <row r="171">
      <c r="A171" s="13">
        <v>144.0</v>
      </c>
      <c r="B171" s="48"/>
      <c r="C171" s="5"/>
      <c r="D171" s="5"/>
      <c r="E171" s="5"/>
      <c r="F171" s="41"/>
      <c r="G171" s="41"/>
      <c r="H171" s="41"/>
      <c r="I171" s="41"/>
      <c r="J171" s="41"/>
      <c r="K171" s="41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18">
        <f t="shared" si="4"/>
        <v>0</v>
      </c>
      <c r="AL171" s="18">
        <f t="shared" si="5"/>
        <v>0</v>
      </c>
      <c r="AM171" s="5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</row>
    <row r="172">
      <c r="A172" s="13">
        <v>145.0</v>
      </c>
      <c r="B172" s="48"/>
      <c r="C172" s="5"/>
      <c r="D172" s="5"/>
      <c r="E172" s="5"/>
      <c r="F172" s="41"/>
      <c r="G172" s="41"/>
      <c r="H172" s="41"/>
      <c r="I172" s="41"/>
      <c r="J172" s="41"/>
      <c r="K172" s="41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18">
        <f t="shared" si="4"/>
        <v>0</v>
      </c>
      <c r="AL172" s="18">
        <f t="shared" si="5"/>
        <v>0</v>
      </c>
      <c r="AM172" s="5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</row>
    <row r="173">
      <c r="A173" s="13">
        <v>146.0</v>
      </c>
      <c r="B173" s="48"/>
      <c r="C173" s="5"/>
      <c r="D173" s="5"/>
      <c r="E173" s="5"/>
      <c r="F173" s="41"/>
      <c r="G173" s="41"/>
      <c r="H173" s="41"/>
      <c r="I173" s="41"/>
      <c r="J173" s="41"/>
      <c r="K173" s="41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18">
        <f t="shared" si="4"/>
        <v>0</v>
      </c>
      <c r="AL173" s="18">
        <f t="shared" si="5"/>
        <v>0</v>
      </c>
      <c r="AM173" s="5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</row>
    <row r="174">
      <c r="A174" s="13">
        <v>147.0</v>
      </c>
      <c r="B174" s="48"/>
      <c r="C174" s="5"/>
      <c r="D174" s="5"/>
      <c r="E174" s="5"/>
      <c r="F174" s="41"/>
      <c r="G174" s="41"/>
      <c r="H174" s="41"/>
      <c r="I174" s="41"/>
      <c r="J174" s="41"/>
      <c r="K174" s="4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18">
        <f t="shared" si="4"/>
        <v>0</v>
      </c>
      <c r="AL174" s="18">
        <f t="shared" si="5"/>
        <v>0</v>
      </c>
      <c r="AM174" s="5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</row>
    <row r="175">
      <c r="A175" s="13">
        <v>148.0</v>
      </c>
      <c r="B175" s="48"/>
      <c r="C175" s="5"/>
      <c r="D175" s="5"/>
      <c r="E175" s="5"/>
      <c r="F175" s="41"/>
      <c r="G175" s="41"/>
      <c r="H175" s="41"/>
      <c r="I175" s="41"/>
      <c r="J175" s="41"/>
      <c r="K175" s="4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18">
        <f t="shared" si="4"/>
        <v>0</v>
      </c>
      <c r="AL175" s="18">
        <f t="shared" si="5"/>
        <v>0</v>
      </c>
      <c r="AM175" s="5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</row>
    <row r="176">
      <c r="A176" s="13">
        <v>149.0</v>
      </c>
      <c r="B176" s="48"/>
      <c r="C176" s="5"/>
      <c r="D176" s="5"/>
      <c r="E176" s="5"/>
      <c r="F176" s="41"/>
      <c r="G176" s="41"/>
      <c r="H176" s="41"/>
      <c r="I176" s="41"/>
      <c r="J176" s="41"/>
      <c r="K176" s="41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18">
        <f t="shared" si="4"/>
        <v>0</v>
      </c>
      <c r="AL176" s="18">
        <f t="shared" si="5"/>
        <v>0</v>
      </c>
      <c r="AM176" s="5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</row>
    <row r="177">
      <c r="A177" s="13">
        <v>150.0</v>
      </c>
      <c r="B177" s="48"/>
      <c r="C177" s="5"/>
      <c r="D177" s="5"/>
      <c r="E177" s="5"/>
      <c r="F177" s="41"/>
      <c r="G177" s="41"/>
      <c r="H177" s="41"/>
      <c r="I177" s="41"/>
      <c r="J177" s="41"/>
      <c r="K177" s="41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18">
        <f t="shared" si="4"/>
        <v>0</v>
      </c>
      <c r="AL177" s="18">
        <f t="shared" si="5"/>
        <v>0</v>
      </c>
      <c r="AM177" s="5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</row>
    <row r="178">
      <c r="A178" s="13">
        <v>151.0</v>
      </c>
      <c r="B178" s="48"/>
      <c r="C178" s="5"/>
      <c r="D178" s="5"/>
      <c r="E178" s="5"/>
      <c r="F178" s="41"/>
      <c r="G178" s="41"/>
      <c r="H178" s="41"/>
      <c r="I178" s="41"/>
      <c r="J178" s="41"/>
      <c r="K178" s="4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18">
        <f t="shared" si="4"/>
        <v>0</v>
      </c>
      <c r="AL178" s="18">
        <f t="shared" si="5"/>
        <v>0</v>
      </c>
      <c r="AM178" s="5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</row>
    <row r="179">
      <c r="A179" s="13">
        <v>152.0</v>
      </c>
      <c r="B179" s="48"/>
      <c r="C179" s="5"/>
      <c r="D179" s="5"/>
      <c r="E179" s="5"/>
      <c r="F179" s="41"/>
      <c r="G179" s="41"/>
      <c r="H179" s="41"/>
      <c r="I179" s="41"/>
      <c r="J179" s="41"/>
      <c r="K179" s="41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18">
        <f t="shared" si="4"/>
        <v>0</v>
      </c>
      <c r="AL179" s="18">
        <f t="shared" si="5"/>
        <v>0</v>
      </c>
      <c r="AM179" s="5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</row>
    <row r="180">
      <c r="A180" s="13">
        <v>153.0</v>
      </c>
      <c r="B180" s="48"/>
      <c r="C180" s="5"/>
      <c r="D180" s="5"/>
      <c r="E180" s="5"/>
      <c r="F180" s="41"/>
      <c r="G180" s="41"/>
      <c r="H180" s="41"/>
      <c r="I180" s="41"/>
      <c r="J180" s="41"/>
      <c r="K180" s="41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18">
        <f t="shared" si="4"/>
        <v>0</v>
      </c>
      <c r="AL180" s="18">
        <f t="shared" si="5"/>
        <v>0</v>
      </c>
      <c r="AM180" s="5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</row>
    <row r="181">
      <c r="A181" s="13">
        <v>154.0</v>
      </c>
      <c r="B181" s="48"/>
      <c r="C181" s="5"/>
      <c r="D181" s="5"/>
      <c r="E181" s="5"/>
      <c r="F181" s="41"/>
      <c r="G181" s="41"/>
      <c r="H181" s="41"/>
      <c r="I181" s="41"/>
      <c r="J181" s="41"/>
      <c r="K181" s="41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18">
        <f t="shared" si="4"/>
        <v>0</v>
      </c>
      <c r="AL181" s="18">
        <f t="shared" si="5"/>
        <v>0</v>
      </c>
      <c r="AM181" s="5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</row>
    <row r="182">
      <c r="A182" s="13">
        <v>155.0</v>
      </c>
      <c r="B182" s="48"/>
      <c r="C182" s="5"/>
      <c r="D182" s="5"/>
      <c r="E182" s="5"/>
      <c r="F182" s="41"/>
      <c r="G182" s="41"/>
      <c r="H182" s="41"/>
      <c r="I182" s="41"/>
      <c r="J182" s="41"/>
      <c r="K182" s="41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18">
        <f t="shared" si="4"/>
        <v>0</v>
      </c>
      <c r="AL182" s="18">
        <f t="shared" si="5"/>
        <v>0</v>
      </c>
      <c r="AM182" s="5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</row>
    <row r="183">
      <c r="A183" s="13">
        <v>156.0</v>
      </c>
      <c r="B183" s="48"/>
      <c r="C183" s="5"/>
      <c r="D183" s="5"/>
      <c r="E183" s="5"/>
      <c r="F183" s="41"/>
      <c r="G183" s="41"/>
      <c r="H183" s="41"/>
      <c r="I183" s="41"/>
      <c r="J183" s="41"/>
      <c r="K183" s="41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18">
        <f t="shared" si="4"/>
        <v>0</v>
      </c>
      <c r="AL183" s="18">
        <f t="shared" si="5"/>
        <v>0</v>
      </c>
      <c r="AM183" s="5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</row>
    <row r="184">
      <c r="A184" s="13">
        <v>157.0</v>
      </c>
      <c r="B184" s="48"/>
      <c r="C184" s="5"/>
      <c r="D184" s="5"/>
      <c r="E184" s="5"/>
      <c r="F184" s="41"/>
      <c r="G184" s="41"/>
      <c r="H184" s="41"/>
      <c r="I184" s="41"/>
      <c r="J184" s="41"/>
      <c r="K184" s="41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18">
        <f t="shared" si="4"/>
        <v>0</v>
      </c>
      <c r="AL184" s="18">
        <f t="shared" si="5"/>
        <v>0</v>
      </c>
      <c r="AM184" s="5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</row>
    <row r="185">
      <c r="A185" s="13">
        <v>158.0</v>
      </c>
      <c r="B185" s="48"/>
      <c r="C185" s="5"/>
      <c r="D185" s="5"/>
      <c r="E185" s="5"/>
      <c r="F185" s="41"/>
      <c r="G185" s="41"/>
      <c r="H185" s="41"/>
      <c r="I185" s="41"/>
      <c r="J185" s="41"/>
      <c r="K185" s="41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18">
        <f t="shared" si="4"/>
        <v>0</v>
      </c>
      <c r="AL185" s="18">
        <f t="shared" si="5"/>
        <v>0</v>
      </c>
      <c r="AM185" s="5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</row>
    <row r="186">
      <c r="A186" s="13">
        <v>159.0</v>
      </c>
      <c r="B186" s="48"/>
      <c r="C186" s="5"/>
      <c r="D186" s="5"/>
      <c r="E186" s="5"/>
      <c r="F186" s="41"/>
      <c r="G186" s="41"/>
      <c r="H186" s="41"/>
      <c r="I186" s="41"/>
      <c r="J186" s="41"/>
      <c r="K186" s="41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18">
        <f t="shared" si="4"/>
        <v>0</v>
      </c>
      <c r="AL186" s="18">
        <f t="shared" si="5"/>
        <v>0</v>
      </c>
      <c r="AM186" s="5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</row>
    <row r="187">
      <c r="A187" s="52" t="s">
        <v>689</v>
      </c>
      <c r="B187" s="3"/>
      <c r="C187" s="3"/>
      <c r="D187" s="3"/>
      <c r="E187" s="4"/>
      <c r="F187" s="42">
        <f t="shared" ref="F187:K187" si="6">sum(F4:F186)</f>
        <v>1000000</v>
      </c>
      <c r="G187" s="42">
        <f t="shared" si="6"/>
        <v>25000</v>
      </c>
      <c r="H187" s="42">
        <f t="shared" si="6"/>
        <v>62500</v>
      </c>
      <c r="I187" s="42">
        <f t="shared" si="6"/>
        <v>270000</v>
      </c>
      <c r="J187" s="42">
        <f t="shared" si="6"/>
        <v>90000</v>
      </c>
      <c r="K187" s="42">
        <f t="shared" si="6"/>
        <v>105000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18">
        <f>sum(AJ4:AJ186)</f>
        <v>1552500</v>
      </c>
      <c r="AK187" s="18">
        <f>sum(AK4:AK61)</f>
        <v>142751</v>
      </c>
      <c r="AL187" s="18">
        <f t="shared" si="5"/>
        <v>1409749</v>
      </c>
      <c r="AM187" s="5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</row>
  </sheetData>
  <mergeCells count="25">
    <mergeCell ref="F2:H2"/>
    <mergeCell ref="I2:K2"/>
    <mergeCell ref="A187:E187"/>
    <mergeCell ref="A1:A3"/>
    <mergeCell ref="B1:B3"/>
    <mergeCell ref="C1:C3"/>
    <mergeCell ref="D1:D3"/>
    <mergeCell ref="E1:E3"/>
    <mergeCell ref="F1:K1"/>
    <mergeCell ref="AJ1:AJ3"/>
    <mergeCell ref="AK1:AK3"/>
    <mergeCell ref="AL1:AL3"/>
    <mergeCell ref="AM1:AM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</mergeCells>
  <drawing r:id="rId1"/>
</worksheet>
</file>